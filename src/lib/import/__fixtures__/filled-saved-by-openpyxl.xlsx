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Farms" sheetId="2" state="visible" r:id="rId2"/>
    <sheet xmlns:r="http://schemas.openxmlformats.org/officeDocument/2006/relationships" name="Customers" sheetId="3" state="visible" r:id="rId3"/>
    <sheet xmlns:r="http://schemas.openxmlformats.org/officeDocument/2006/relationships" name="Products" sheetId="4" state="visible" r:id="rId4"/>
    <sheet xmlns:r="http://schemas.openxmlformats.org/officeDocument/2006/relationships" name="BoxTypes" sheetId="5" state="visible" r:id="rId5"/>
    <sheet xmlns:r="http://schemas.openxmlformats.org/officeDocument/2006/relationships" name="PackRates" sheetId="6" state="visible" r:id="rId6"/>
    <sheet xmlns:r="http://schemas.openxmlformats.org/officeDocument/2006/relationships" name="PriceList" sheetId="7" state="visible" r:id="rId7"/>
    <sheet xmlns:r="http://schemas.openxmlformats.org/officeDocument/2006/relationships" name="FreightRates" sheetId="8" state="visible" r:id="rId8"/>
    <sheet xmlns:r="http://schemas.openxmlformats.org/officeDocument/2006/relationships" name="PackingList" sheetId="9" state="visible" r:id="rId9"/>
    <sheet xmlns:r="http://schemas.openxmlformats.org/officeDocument/2006/relationships" name="Lists" sheetId="10" state="visible" r:id="rId10"/>
  </sheets>
  <definedNames>
    <definedName name="_xlnm._FilterDatabase" localSheetId="1" hidden="1">'Farms'!$A$1:$M$1</definedName>
    <definedName name="_xlnm._FilterDatabase" localSheetId="2" hidden="1">'Customers'!$A$1:$Q$1</definedName>
    <definedName name="_xlnm._FilterDatabase" localSheetId="3" hidden="1">'Products'!$A$1:$M$1</definedName>
    <definedName name="_xlnm._FilterDatabase" localSheetId="4" hidden="1">'BoxTypes'!$A$1:$I$1</definedName>
    <definedName name="_xlnm._FilterDatabase" localSheetId="5" hidden="1">'PackRates'!$A$1:$E$1</definedName>
    <definedName name="_xlnm._FilterDatabase" localSheetId="6" hidden="1">'PriceList'!$A$1:$G$1</definedName>
    <definedName name="_xlnm._FilterDatabase" localSheetId="7" hidden="1">'FreightRates'!$A$1:$I$1</definedName>
    <definedName name="_xlnm._FilterDatabase" localSheetId="8" hidden="1">'PackingList'!$A$1:$O$1</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0B3D1E"/>
      <sz val="14"/>
    </font>
    <font>
      <name val="Arial"/>
      <charset val="1"/>
      <family val="0"/>
      <sz val="10"/>
    </font>
    <font>
      <name val="Arial"/>
      <charset val="1"/>
      <family val="0"/>
      <b val="1"/>
      <color rgb="FF0B3D1E"/>
      <sz val="10"/>
    </font>
    <font>
      <name val="Arial"/>
      <charset val="1"/>
      <family val="0"/>
      <b val="1"/>
      <sz val="11"/>
    </font>
    <font>
      <name val="Arial"/>
      <charset val="1"/>
      <family val="0"/>
      <b val="1"/>
      <color rgb="FFFFFFFF"/>
      <sz val="11"/>
    </font>
    <font>
      <name val="Arial"/>
      <charset val="1"/>
      <family val="0"/>
      <color rgb="FF1F4E9E"/>
      <sz val="11"/>
    </font>
    <font>
      <name val="Arial"/>
      <family val="2"/>
      <sz val="10"/>
    </font>
    <font>
      <name val="Arial"/>
      <charset val="1"/>
      <family val="0"/>
      <sz val="11"/>
    </font>
    <font>
      <name val="Arial"/>
      <charset val="1"/>
      <family val="0"/>
      <i val="1"/>
      <sz val="9"/>
    </font>
  </fonts>
  <fills count="6">
    <fill>
      <patternFill/>
    </fill>
    <fill>
      <patternFill patternType="gray125"/>
    </fill>
    <fill>
      <patternFill patternType="solid">
        <fgColor rgb="FF7A1F2B"/>
        <bgColor rgb="FF800000"/>
      </patternFill>
    </fill>
    <fill>
      <patternFill patternType="solid">
        <fgColor rgb="FF0B3D1E"/>
        <bgColor rgb="FF333333"/>
      </patternFill>
    </fill>
    <fill>
      <patternFill patternType="solid">
        <fgColor rgb="FFFFF7D6"/>
        <bgColor rgb="FFFFFFFF"/>
      </patternFill>
    </fill>
    <fill>
      <patternFill patternType="solid">
        <fgColor rgb="FFE8F0EA"/>
        <bgColor rgb="FFFFF7D6"/>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bottom"/>
    </xf>
    <xf numFmtId="0" fontId="0" fillId="3" borderId="0" applyAlignment="1" pivotButton="0" quotePrefix="0" xfId="0">
      <alignment horizontal="general" vertical="bottom"/>
    </xf>
    <xf numFmtId="0" fontId="0" fillId="4" borderId="0" applyAlignment="1" pivotButton="0" quotePrefix="0" xfId="0">
      <alignment horizontal="general" vertical="bottom"/>
    </xf>
    <xf numFmtId="0" fontId="0" fillId="5" borderId="0" applyAlignment="1" pivotButton="0" quotePrefix="0" xfId="0">
      <alignment horizontal="general" vertical="bottom"/>
    </xf>
    <xf numFmtId="0" fontId="8" fillId="2" borderId="1" applyAlignment="1" pivotButton="0" quotePrefix="0" xfId="0">
      <alignment horizontal="general" vertical="center" wrapText="1"/>
    </xf>
    <xf numFmtId="0" fontId="8" fillId="3" borderId="1" applyAlignment="1" pivotButton="0" quotePrefix="0" xfId="0">
      <alignment horizontal="general" vertical="center" wrapText="1"/>
    </xf>
    <xf numFmtId="0" fontId="9" fillId="4" borderId="1" applyAlignment="1" pivotButton="0" quotePrefix="0" xfId="0">
      <alignment horizontal="general" vertical="bottom"/>
    </xf>
    <xf numFmtId="2" fontId="11" fillId="5" borderId="1" applyAlignment="1" pivotButton="0" quotePrefix="0" xfId="0">
      <alignment horizontal="general" vertical="bottom"/>
    </xf>
    <xf numFmtId="2" fontId="11" fillId="5" borderId="0" applyAlignment="1" pivotButton="0" quotePrefix="0" xfId="0">
      <alignment horizontal="general" vertical="bottom"/>
    </xf>
    <xf numFmtId="0" fontId="11" fillId="5" borderId="1" applyAlignment="1" pivotButton="0" quotePrefix="0" xfId="0">
      <alignment horizontal="general" vertical="bottom"/>
    </xf>
    <xf numFmtId="0" fontId="11" fillId="5" borderId="0" applyAlignment="1" pivotButton="0" quotePrefix="0" xfId="0">
      <alignment horizontal="general" vertical="bottom"/>
    </xf>
    <xf numFmtId="164" fontId="9" fillId="4" borderId="1" applyAlignment="1" pivotButton="0" quotePrefix="0" xfId="0">
      <alignment horizontal="general" vertical="bottom"/>
    </xf>
    <xf numFmtId="0" fontId="8"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bottom"/>
    </xf>
    <xf numFmtId="0" fontId="0" fillId="3" borderId="0" applyAlignment="1" pivotButton="0" quotePrefix="0" xfId="0">
      <alignment horizontal="general" vertical="bottom"/>
    </xf>
    <xf numFmtId="0" fontId="0" fillId="4" borderId="0" applyAlignment="1" pivotButton="0" quotePrefix="0" xfId="0">
      <alignment horizontal="general" vertical="bottom"/>
    </xf>
    <xf numFmtId="0" fontId="0" fillId="5" borderId="0" applyAlignment="1" pivotButton="0" quotePrefix="0" xfId="0">
      <alignment horizontal="general" vertical="bottom"/>
    </xf>
    <xf numFmtId="0" fontId="8" fillId="2" borderId="1" applyAlignment="1" pivotButton="0" quotePrefix="0" xfId="0">
      <alignment horizontal="general" vertical="center" wrapText="1"/>
    </xf>
    <xf numFmtId="0" fontId="8" fillId="3" borderId="1" applyAlignment="1" pivotButton="0" quotePrefix="0" xfId="0">
      <alignment horizontal="general" vertical="center" wrapText="1"/>
    </xf>
    <xf numFmtId="0" fontId="9" fillId="4" borderId="1" applyAlignment="1" pivotButton="0" quotePrefix="0" xfId="0">
      <alignment horizontal="general" vertical="bottom"/>
    </xf>
    <xf numFmtId="2" fontId="11" fillId="5" borderId="1" applyAlignment="1" pivotButton="0" quotePrefix="0" xfId="0">
      <alignment horizontal="general" vertical="bottom"/>
    </xf>
    <xf numFmtId="2" fontId="11" fillId="5" borderId="0" applyAlignment="1" pivotButton="0" quotePrefix="0" xfId="0">
      <alignment horizontal="general" vertical="bottom"/>
    </xf>
    <xf numFmtId="0" fontId="11" fillId="5" borderId="1" applyAlignment="1" pivotButton="0" quotePrefix="0" xfId="0">
      <alignment horizontal="general" vertical="bottom"/>
    </xf>
    <xf numFmtId="0" fontId="11" fillId="5" borderId="0" applyAlignment="1" pivotButton="0" quotePrefix="0" xfId="0">
      <alignment horizontal="general" vertical="bottom"/>
    </xf>
    <xf numFmtId="164" fontId="9" fillId="4" borderId="1" applyAlignment="1" pivotButton="0" quotePrefix="0" xfId="0">
      <alignment horizontal="general" vertical="bottom"/>
    </xf>
    <xf numFmtId="0" fontId="8"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7A1F2B"/>
          <bgColor rgb="FF000000"/>
        </patternFill>
      </fill>
    </dxf>
    <dxf>
      <fill>
        <patternFill patternType="solid">
          <fgColor rgb="FFFFFFFF"/>
          <bgColor rgb="FF000000"/>
        </patternFill>
      </fill>
    </dxf>
    <dxf>
      <fill>
        <patternFill patternType="solid">
          <fgColor rgb="FF0B3D1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7D6"/>
      <rgbColor rgb="FFE8F0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B3D1E"/>
      <rgbColor rgb="FF333300"/>
      <rgbColor rgb="FF7A1F2B"/>
      <rgbColor rgb="FF993366"/>
      <rgbColor rgb="FF1F4E9E"/>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Unknown Author</author>
  </authors>
  <commentList>
    <comment ref="A1" authorId="0" shapeId="0">
      <text>
        <t>Short unique code, e.g. SIAN. Used to link products, prices and packing lines.</t>
      </text>
    </comment>
    <comment ref="B1" authorId="0" shapeId="0">
      <text>
        <t>Registered business name.</t>
      </text>
    </comment>
    <comment ref="D1" authorId="0" shapeId="0">
      <text>
        <t>County or region.</t>
      </text>
    </comment>
    <comment ref="F1" authorId="0" shapeId="0">
      <text>
        <t>13-digit Global Location Number, if issued (Floricode or GS1 Kenya).</t>
      </text>
    </comment>
    <comment ref="G1" authorId="0" shapeId="0">
      <text>
        <t>Needed on eTIMS purchase records for Kenyan farms.</t>
      </text>
    </comment>
    <comment ref="H1" authorId="0" shapeId="0">
      <text>
        <t>Person who receives POs.</t>
      </text>
    </comment>
    <comment ref="I1" authorId="0" shapeId="0">
      <text>
        <t>POs are emailed here from sales@consolflora.com.</t>
      </text>
    </comment>
    <comment ref="J1" authorId="0" shapeId="0">
      <text>
        <t>Include country code, e.g. +254...</t>
      </text>
    </comment>
    <comment ref="M1" authorId="0" shapeId="0">
      <text>
        <t>N hides the farm from new POs without deleting history.</t>
      </text>
    </comment>
  </commentList>
</comments>
</file>

<file path=xl/comments/comment2.xml><?xml version="1.0" encoding="utf-8"?>
<comments xmlns="http://schemas.openxmlformats.org/spreadsheetml/2006/main">
  <authors>
    <author>Unknown Author</author>
  </authors>
  <commentList>
    <comment ref="A1" authorId="0" shapeId="0">
      <text>
        <t>Short unique code, e.g. FDAMS.</t>
      </text>
    </comment>
    <comment ref="F1" authorId="0" shapeId="0">
      <text>
        <t>Buyer's 13-digit GLN, if they have one.</t>
      </text>
    </comment>
    <comment ref="G1" authorId="0" shapeId="0">
      <text>
        <t>Business tax number. Collect only what invoices need.</t>
      </text>
    </comment>
    <comment ref="H1" authorId="0" shapeId="0">
      <text>
        <t>Business contact. Do not collect ID numbers or dates of birth.</t>
      </text>
    </comment>
    <comment ref="L1" authorId="0" shapeId="0">
      <text>
        <t>Incoterms 2020 rule for this buyer's default orders.</t>
      </text>
    </comment>
    <comment ref="M1" authorId="0" shapeId="0">
      <text>
        <t>Prepaid orders are held at the fulfilment gate until paid.</t>
      </text>
    </comment>
    <comment ref="N1" authorId="0" shapeId="0">
      <text>
        <t>In the customer's currency. Blank = no credit.</t>
      </text>
    </comment>
    <comment ref="O1" authorId="0" shapeId="0">
      <text>
        <t>IATA code, e.g. AMS.</t>
      </text>
    </comment>
    <comment ref="P1" authorId="0" shapeId="0">
      <text>
        <t>Language for emails and labels.</t>
      </text>
    </comment>
  </commentList>
</comments>
</file>

<file path=xl/comments/comment3.xml><?xml version="1.0" encoding="utf-8"?>
<comments xmlns="http://schemas.openxmlformats.org/spreadsheetml/2006/main">
  <authors>
    <author>Unknown Author</author>
  </authors>
  <commentList>
    <comment ref="A1" authorId="0" shapeId="0">
      <text>
        <t>Your internal code, unique per flower + variety + grade + length.</t>
      </text>
    </comment>
    <comment ref="B1" authorId="0" shapeId="0">
      <text>
        <t>e.g. Rose, Spray rose, Gypsophila.</t>
      </text>
    </comment>
    <comment ref="E1" authorId="0" shapeId="0">
      <text>
        <t>Filled by the Floricode sync. Leave blank on import if unknown; the app will ask you to match it.</t>
      </text>
    </comment>
    <comment ref="F1" authorId="0" shapeId="0">
      <text>
        <t>Floricode VBN product code. Confirm against the synced code list.</t>
      </text>
    </comment>
    <comment ref="G1" authorId="0" shapeId="0">
      <text>
        <t>Your grade label, e.g. A1. Map to the Floricode quality feature in the app.</t>
      </text>
    </comment>
    <comment ref="L1" authorId="0" shapeId="0">
      <text>
        <t>Must match a farm_code on the Farms sheet.</t>
      </text>
    </comment>
  </commentList>
</comments>
</file>

<file path=xl/comments/comment4.xml><?xml version="1.0" encoding="utf-8"?>
<comments xmlns="http://schemas.openxmlformats.org/spreadsheetml/2006/main">
  <authors>
    <author>Unknown Author</author>
  </authors>
  <commentList>
    <comment ref="A1" authorId="0" shapeId="0">
      <text>
        <t>e.g. QB, HB, FB, or your own.</t>
      </text>
    </comment>
    <comment ref="C1" authorId="0" shapeId="0">
      <text>
        <t>Outside dimensions, as the airline measures them.</t>
      </text>
    </comment>
    <comment ref="F1" authorId="0" shapeId="0">
      <text>
        <t>Weight of the empty box.</t>
      </text>
    </comment>
    <comment ref="G1" authorId="0" shapeId="0">
      <text>
        <t>Calculated: L x W x H / 6000 (common air-cargo divisor; confirm with your airline or agent).</t>
      </text>
    </comment>
    <comment ref="H1" authorId="0" shapeId="0">
      <text>
        <t>Floricode packaging code, if used.</t>
      </text>
    </comment>
  </commentList>
</comments>
</file>

<file path=xl/comments/comment5.xml><?xml version="1.0" encoding="utf-8"?>
<comments xmlns="http://schemas.openxmlformats.org/spreadsheetml/2006/main">
  <authors>
    <author>Unknown Author</author>
  </authors>
  <commentList>
    <comment ref="A1" authorId="0" shapeId="0">
      <text>
        <t>Must match Products.</t>
      </text>
    </comment>
    <comment ref="B1" authorId="0" shapeId="0">
      <text>
        <t>Must match BoxTypes.</t>
      </text>
    </comment>
    <comment ref="D1" authorId="0" shapeId="0">
      <text>
        <t>Calculated from bunches_per_box x stems_per_bunch on Products.</t>
      </text>
    </comment>
    <comment ref="E1" authorId="0" shapeId="0">
      <text>
        <t>Packed weight, used for chargeable weight.</t>
      </text>
    </comment>
  </commentList>
</comments>
</file>

<file path=xl/comments/comment6.xml><?xml version="1.0" encoding="utf-8"?>
<comments xmlns="http://schemas.openxmlformats.org/spreadsheetml/2006/main">
  <authors>
    <author>Unknown Author</author>
  </authors>
  <commentList>
    <comment ref="D1" authorId="0" shapeId="0">
      <text>
        <t>Farm cost price per stem.</t>
      </text>
    </comment>
    <comment ref="F1" authorId="0" shapeId="0">
      <text>
        <t>Blank = until replaced.</t>
      </text>
    </comment>
  </commentList>
</comments>
</file>

<file path=xl/comments/comment7.xml><?xml version="1.0" encoding="utf-8"?>
<comments xmlns="http://schemas.openxmlformats.org/spreadsheetml/2006/main">
  <authors>
    <author>Unknown Author</author>
  </authors>
  <commentList>
    <comment ref="A1" authorId="0" shapeId="0">
      <text>
        <t>IATA, e.g. NBO.</t>
      </text>
    </comment>
    <comment ref="E1" authorId="0" shapeId="0">
      <text>
        <t>Per chargeable kg.</t>
      </text>
    </comment>
    <comment ref="G1" authorId="0" shapeId="0">
      <text>
        <t>Rate applies from this chargeable weight upward.</t>
      </text>
    </comment>
  </commentList>
</comments>
</file>

<file path=xl/comments/comment8.xml><?xml version="1.0" encoding="utf-8"?>
<comments xmlns="http://schemas.openxmlformats.org/spreadsheetml/2006/main">
  <authors>
    <author>Unknown Author</author>
  </authors>
  <commentList>
    <comment ref="A1" authorId="0" shapeId="0">
      <text>
        <t>One reference per consolidated shipment. Rows of the same shipment must sit together.</t>
      </text>
    </comment>
    <comment ref="B1" authorId="0" shapeId="0">
      <text>
        <t>Master air waybill, e.g. 706-12345678.</t>
      </text>
    </comment>
    <comment ref="C1" authorId="0" shapeId="0">
      <text>
        <t>House air waybill per buyer under the master, if consolidating for several buyers.</t>
      </text>
    </comment>
    <comment ref="J1" authorId="0" shapeId="0">
      <text>
        <t>Looked up from PackRates for this product and box.</t>
      </text>
    </comment>
    <comment ref="K1" authorId="0" shapeId="0">
      <text>
        <t>boxes x bunches_per_box x stems_per_bunch.</t>
      </text>
    </comment>
    <comment ref="L1" authorId="0" shapeId="0">
      <text>
        <t>First shipment box number for this line. Restarts at 1 for each new shipment_ref.</t>
      </text>
    </comment>
    <comment ref="M1" authorId="0" shapeId="0">
      <text>
        <t>Last shipment box number for this line.</t>
      </text>
    </comment>
    <comment ref="N1" authorId="0" shapeId="0">
      <text>
        <t>N in 'box n of N'.</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21" min="1" max="1"/>
    <col width="100" customWidth="1" style="21" min="2" max="2"/>
  </cols>
  <sheetData>
    <row r="1" ht="17.35" customHeight="1" s="22">
      <c r="A1" s="23" t="inlineStr">
        <is>
          <t>ConsolFlora data import template</t>
        </is>
      </c>
      <c r="B1" s="24" t="inlineStr">
        <is>
          <t>Version 1.0, October 2026</t>
        </is>
      </c>
    </row>
    <row r="2" ht="15" customHeight="1" s="22">
      <c r="A2" s="25" t="n"/>
      <c r="B2" s="24" t="n"/>
    </row>
    <row r="3" ht="23.85" customHeight="1" s="22">
      <c r="A3" s="25" t="inlineStr">
        <is>
          <t>How to use</t>
        </is>
      </c>
      <c r="B3" s="24" t="inlineStr">
        <is>
          <t>Fill one sheet per kind of data, save as .xlsx, then upload it on the Import page. The app checks every row first (dry run) and shows errors before anything is saved.</t>
        </is>
      </c>
    </row>
    <row r="4" ht="15" customHeight="1" s="22">
      <c r="A4" s="25" t="inlineStr">
        <is>
          <t>Required columns</t>
        </is>
      </c>
      <c r="B4" s="24" t="inlineStr">
        <is>
          <t>Dark red headers with * must be filled. Green headers are optional.</t>
        </is>
      </c>
    </row>
    <row r="5" ht="15" customHeight="1" s="22">
      <c r="A5" s="25" t="inlineStr">
        <is>
          <t>Your input cells</t>
        </is>
      </c>
      <c r="B5" s="24" t="inlineStr">
        <is>
          <t>Pale yellow cells. Row 2 on each sheet is an EXAMPLE row in blue text: overwrite or delete it before importing.</t>
        </is>
      </c>
    </row>
    <row r="6" ht="15" customHeight="1" s="22">
      <c r="A6" s="25" t="inlineStr">
        <is>
          <t>Calculated cells</t>
        </is>
      </c>
      <c r="B6" s="24" t="inlineStr">
        <is>
          <t>Pale green cells are formulas. Leave them alone; the app recalculates them on import anyway.</t>
        </is>
      </c>
    </row>
    <row r="7" ht="15" customHeight="1" s="22">
      <c r="A7" s="25" t="inlineStr">
        <is>
          <t>Dropdowns</t>
        </is>
      </c>
      <c r="B7" s="24" t="inlineStr">
        <is>
          <t>Columns such as currency, incoterm and payment terms only accept values from the Lists sheet.</t>
        </is>
      </c>
    </row>
    <row r="8" ht="15" customHeight="1" s="22">
      <c r="A8" s="25" t="inlineStr">
        <is>
          <t>Codes link sheets</t>
        </is>
      </c>
      <c r="B8" s="24" t="inlineStr">
        <is>
          <t>farm_code, customer_code, product_code and box_code must match exactly across sheets (case-sensitive).</t>
        </is>
      </c>
    </row>
    <row r="9" ht="23.85" customHeight="1" s="22">
      <c r="A9" s="25" t="inlineStr">
        <is>
          <t>Updating records</t>
        </is>
      </c>
      <c r="B9" s="24" t="inlineStr">
        <is>
          <t>A row whose code already exists updates that record; a new code creates one. Nothing is deleted by import: set active = N instead.</t>
        </is>
      </c>
    </row>
    <row r="10" ht="15" customHeight="1" s="22">
      <c r="A10" s="25" t="inlineStr">
        <is>
          <t>Import order</t>
        </is>
      </c>
      <c r="B10" s="24" t="inlineStr">
        <is>
          <t>Lists &gt; Farms &gt; Customers &gt; BoxTypes &gt; Products &gt; PackRates &gt; PriceList &gt; FreightRates &gt; PackingList.</t>
        </is>
      </c>
    </row>
    <row r="11" ht="15" customHeight="1" s="22">
      <c r="A11" s="25" t="inlineStr">
        <is>
          <t>Box numbers</t>
        </is>
      </c>
      <c r="B11" s="24" t="inlineStr">
        <is>
          <t>PackingList numbers boxes 1..N per shipment_ref in row order. SSCC numbers are never in this file; the app issues them.</t>
        </is>
      </c>
    </row>
    <row r="12" ht="15" customHeight="1" s="22">
      <c r="A12" s="25" t="inlineStr">
        <is>
          <t>Dates</t>
        </is>
      </c>
      <c r="B12" s="24" t="inlineStr">
        <is>
          <t>Use YYYY-MM-DD.</t>
        </is>
      </c>
    </row>
    <row r="13" ht="15" customHeight="1" s="22">
      <c r="A13" s="25" t="inlineStr">
        <is>
          <t>Personal data</t>
        </is>
      </c>
      <c r="B13" s="24" t="inlineStr">
        <is>
          <t>Only business contact details. No ID numbers, dates of birth or personal addresses.</t>
        </is>
      </c>
    </row>
    <row r="14" ht="15" customHeight="1" s="22">
      <c r="A14" s="25" t="inlineStr">
        <is>
          <t>Placeholder data</t>
        </is>
      </c>
      <c r="B14" s="24" t="inlineStr">
        <is>
          <t>All example names, numbers and prices are made up. Box dimensions are examples; measure your own.</t>
        </is>
      </c>
    </row>
    <row r="16" ht="15" customHeight="1" s="22">
      <c r="A16" s="26" t="inlineStr">
        <is>
          <t>Colour key</t>
        </is>
      </c>
    </row>
    <row r="17" ht="15" customHeight="1" s="22">
      <c r="A17" s="27" t="n"/>
      <c r="B17" s="28" t="inlineStr">
        <is>
          <t>Required column header</t>
        </is>
      </c>
    </row>
    <row r="18" ht="15" customHeight="1" s="22">
      <c r="A18" s="29" t="n"/>
      <c r="B18" s="28" t="inlineStr">
        <is>
          <t>Optional column header</t>
        </is>
      </c>
    </row>
    <row r="19" ht="15" customHeight="1" s="22">
      <c r="A19" s="30" t="n"/>
      <c r="B19" s="28" t="inlineStr">
        <is>
          <t>Input cell</t>
        </is>
      </c>
    </row>
    <row r="20" ht="15" customHeight="1" s="22">
      <c r="A20" s="31" t="n"/>
      <c r="B20" s="28" t="inlineStr">
        <is>
          <t>Calculated cell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21" min="1" max="2"/>
    <col width="14" customWidth="1" style="21" min="3" max="7"/>
    <col width="22" customWidth="1" style="21" min="8" max="8"/>
    <col width="23" customWidth="1" style="21" min="9" max="10"/>
    <col width="14" customWidth="1" style="21" min="11" max="11"/>
    <col width="19" customWidth="1" style="21" min="12" max="12"/>
    <col width="14" customWidth="1" style="21" min="13" max="13"/>
  </cols>
  <sheetData>
    <row r="1" ht="31.5" customHeight="1" s="22">
      <c r="A1" s="32" t="inlineStr">
        <is>
          <t>farm_code *</t>
        </is>
      </c>
      <c r="B1" s="32" t="inlineStr">
        <is>
          <t>farm_name *</t>
        </is>
      </c>
      <c r="C1" s="32" t="inlineStr">
        <is>
          <t>country *</t>
        </is>
      </c>
      <c r="D1" s="33" t="inlineStr">
        <is>
          <t>region</t>
        </is>
      </c>
      <c r="E1" s="33" t="inlineStr">
        <is>
          <t>address</t>
        </is>
      </c>
      <c r="F1" s="33" t="inlineStr">
        <is>
          <t>gln</t>
        </is>
      </c>
      <c r="G1" s="33" t="inlineStr">
        <is>
          <t>kra_pin</t>
        </is>
      </c>
      <c r="H1" s="32" t="inlineStr">
        <is>
          <t>sales_agent_name *</t>
        </is>
      </c>
      <c r="I1" s="32" t="inlineStr">
        <is>
          <t>sales_agent_email *</t>
        </is>
      </c>
      <c r="J1" s="33" t="inlineStr">
        <is>
          <t>sales_agent_phone</t>
        </is>
      </c>
      <c r="K1" s="32" t="inlineStr">
        <is>
          <t>currency *</t>
        </is>
      </c>
      <c r="L1" s="32" t="inlineStr">
        <is>
          <t>payment_terms *</t>
        </is>
      </c>
      <c r="M1" s="32" t="inlineStr">
        <is>
          <t>active *</t>
        </is>
      </c>
    </row>
    <row r="2" ht="15" customHeight="1" s="22">
      <c r="A2" s="34" t="inlineStr">
        <is>
          <t>KIBO</t>
        </is>
      </c>
      <c r="B2" s="34" t="inlineStr">
        <is>
          <t>Kibo Roses Ltd</t>
        </is>
      </c>
      <c r="C2" s="34" t="inlineStr">
        <is>
          <t>Kenya</t>
        </is>
      </c>
      <c r="D2" s="34" t="inlineStr">
        <is>
          <t>Nakuru</t>
        </is>
      </c>
      <c r="E2" s="34" t="inlineStr">
        <is>
          <t>PO Box 0000, Nakuru</t>
        </is>
      </c>
      <c r="F2" s="34" t="n"/>
      <c r="G2" s="34" t="inlineStr">
        <is>
          <t>P000000000A</t>
        </is>
      </c>
      <c r="H2" s="34" t="inlineStr">
        <is>
          <t>Ann Wanjiru</t>
        </is>
      </c>
      <c r="I2" s="34" t="inlineStr">
        <is>
          <t>ann@kiboroses.co.ke</t>
        </is>
      </c>
      <c r="J2" s="34" t="inlineStr">
        <is>
          <t>+254711000000</t>
        </is>
      </c>
      <c r="K2" s="34" t="inlineStr">
        <is>
          <t>USD</t>
        </is>
      </c>
      <c r="L2" s="34" t="inlineStr">
        <is>
          <t>Net 15</t>
        </is>
      </c>
      <c r="M2" s="34" t="inlineStr">
        <is>
          <t>Y</t>
        </is>
      </c>
    </row>
    <row r="3">
      <c r="A3" t="inlineStr">
        <is>
          <t>NAKU</t>
        </is>
      </c>
      <c r="B3" t="inlineStr">
        <is>
          <t>Naku Flowers</t>
        </is>
      </c>
      <c r="C3" t="inlineStr">
        <is>
          <t>Kenya</t>
        </is>
      </c>
      <c r="D3" t="inlineStr">
        <is>
          <t>Naivasha</t>
        </is>
      </c>
      <c r="F3" t="inlineStr">
        <is>
          <t>8712345678906</t>
        </is>
      </c>
      <c r="H3" t="inlineStr">
        <is>
          <t>Ben Otieno</t>
        </is>
      </c>
      <c r="I3" t="inlineStr">
        <is>
          <t>ben@naku.co.ke</t>
        </is>
      </c>
      <c r="K3" t="inlineStr">
        <is>
          <t>USD</t>
        </is>
      </c>
      <c r="L3" t="inlineStr">
        <is>
          <t>Net 7</t>
        </is>
      </c>
      <c r="M3" t="inlineStr">
        <is>
          <t>Y</t>
        </is>
      </c>
    </row>
  </sheetData>
  <autoFilter ref="A1:M1"/>
  <dataValidations count="4">
    <dataValidation sqref="C2:C500" showDropDown="0" showInputMessage="0" showErrorMessage="1" allowBlank="0" errorTitle="Not in list" error="Pick a value from the Country list." type="list" errorStyle="stop" operator="between">
      <formula1>Lists!$G$2:$G$11</formula1>
      <formula2>0</formula2>
    </dataValidation>
    <dataValidation sqref="K2:K500" showDropDown="0" showInputMessage="0" showErrorMessage="1" allowBlank="0" errorTitle="Not in list" error="Pick a value from the Currency list." type="list" errorStyle="stop" operator="between">
      <formula1>Lists!$A$2:$A$4</formula1>
      <formula2>0</formula2>
    </dataValidation>
    <dataValidation sqref="L2:L500" showDropDown="0" showInputMessage="0" showErrorMessage="1" allowBlank="0" errorTitle="Not in list" error="Pick a value from the PaymentTerms list." type="list" errorStyle="stop" operator="between">
      <formula1>Lists!$C$2:$C$5</formula1>
      <formula2>0</formula2>
    </dataValidation>
    <dataValidation sqref="M2:M500" showDropDown="0" showInputMessage="0" showErrorMessage="1" allowBlank="0" errorTitle="Not in list" error="Pick a value from the YesNo list." type="list" errorStyle="stop" operator="between">
      <formula1>Lists!$D$2:$D$3</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Q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9" customWidth="1" style="21" min="1" max="1"/>
    <col width="18" customWidth="1" style="21" min="2" max="2"/>
    <col width="14" customWidth="1" style="21" min="3" max="4"/>
    <col width="22" customWidth="1" style="21" min="5" max="5"/>
    <col width="14" customWidth="1" style="21" min="6" max="6"/>
    <col width="19" customWidth="1" style="21" min="7" max="7"/>
    <col width="18" customWidth="1" style="21" min="8" max="8"/>
    <col width="19" customWidth="1" style="21" min="9" max="10"/>
    <col width="14" customWidth="1" style="21" min="11" max="12"/>
    <col width="19" customWidth="1" style="21" min="13" max="13"/>
    <col width="18" customWidth="1" style="21" min="14" max="14"/>
    <col width="25" customWidth="1" style="21" min="15" max="15"/>
    <col width="14" customWidth="1" style="21" min="16" max="17"/>
  </cols>
  <sheetData>
    <row r="1" ht="31.5" customHeight="1" s="22">
      <c r="A1" s="32" t="inlineStr">
        <is>
          <t>customer_code *</t>
        </is>
      </c>
      <c r="B1" s="32" t="inlineStr">
        <is>
          <t>company_name *</t>
        </is>
      </c>
      <c r="C1" s="32" t="inlineStr">
        <is>
          <t>country *</t>
        </is>
      </c>
      <c r="D1" s="33" t="inlineStr">
        <is>
          <t>city</t>
        </is>
      </c>
      <c r="E1" s="33" t="inlineStr">
        <is>
          <t>delivery_address</t>
        </is>
      </c>
      <c r="F1" s="33" t="inlineStr">
        <is>
          <t>gln</t>
        </is>
      </c>
      <c r="G1" s="33" t="inlineStr">
        <is>
          <t>vat_or_tax_id</t>
        </is>
      </c>
      <c r="H1" s="32" t="inlineStr">
        <is>
          <t>contact_name *</t>
        </is>
      </c>
      <c r="I1" s="32" t="inlineStr">
        <is>
          <t>contact_email *</t>
        </is>
      </c>
      <c r="J1" s="33" t="inlineStr">
        <is>
          <t>contact_phone</t>
        </is>
      </c>
      <c r="K1" s="32" t="inlineStr">
        <is>
          <t>currency *</t>
        </is>
      </c>
      <c r="L1" s="32" t="inlineStr">
        <is>
          <t>incoterm *</t>
        </is>
      </c>
      <c r="M1" s="32" t="inlineStr">
        <is>
          <t>payment_terms *</t>
        </is>
      </c>
      <c r="N1" s="33" t="inlineStr">
        <is>
          <t>credit_limit</t>
        </is>
      </c>
      <c r="O1" s="32" t="inlineStr">
        <is>
          <t>destination_airport *</t>
        </is>
      </c>
      <c r="P1" s="33" t="inlineStr">
        <is>
          <t>language</t>
        </is>
      </c>
      <c r="Q1" s="32" t="inlineStr">
        <is>
          <t>active *</t>
        </is>
      </c>
    </row>
    <row r="2" ht="15" customHeight="1" s="22">
      <c r="A2" s="34" t="inlineStr">
        <is>
          <t>FDAMS</t>
        </is>
      </c>
      <c r="B2" s="34" t="inlineStr">
        <is>
          <t>Example Flowers BV</t>
        </is>
      </c>
      <c r="C2" s="34" t="inlineStr">
        <is>
          <t>Netherlands</t>
        </is>
      </c>
      <c r="D2" s="34" t="inlineStr">
        <is>
          <t>Aalsmeer</t>
        </is>
      </c>
      <c r="E2" s="34" t="inlineStr">
        <is>
          <t>Example street 1, Aalsmeer</t>
        </is>
      </c>
      <c r="F2" s="34" t="n"/>
      <c r="G2" s="34" t="inlineStr">
        <is>
          <t>NL000000000B01</t>
        </is>
      </c>
      <c r="H2" s="34" t="inlineStr">
        <is>
          <t>Piet Example</t>
        </is>
      </c>
      <c r="I2" s="34" t="inlineStr">
        <is>
          <t>buying@exampleflowers.nl</t>
        </is>
      </c>
      <c r="J2" s="34" t="inlineStr">
        <is>
          <t>+31600000000</t>
        </is>
      </c>
      <c r="K2" s="34" t="inlineStr">
        <is>
          <t>EUR</t>
        </is>
      </c>
      <c r="L2" s="34" t="inlineStr">
        <is>
          <t>CPT</t>
        </is>
      </c>
      <c r="M2" s="34" t="inlineStr">
        <is>
          <t>Net 15</t>
        </is>
      </c>
      <c r="N2" s="34" t="n">
        <v>20000</v>
      </c>
      <c r="O2" s="34" t="inlineStr">
        <is>
          <t>AMS</t>
        </is>
      </c>
      <c r="P2" s="34" t="inlineStr">
        <is>
          <t>EN</t>
        </is>
      </c>
      <c r="Q2" s="34" t="inlineStr">
        <is>
          <t>Y</t>
        </is>
      </c>
    </row>
  </sheetData>
  <autoFilter ref="A1:Q1"/>
  <dataValidations count="7">
    <dataValidation sqref="C2:C500" showDropDown="0" showInputMessage="0" showErrorMessage="1" allowBlank="0" errorTitle="Not in list" error="Pick a value from the Country list." type="list" errorStyle="stop" operator="between">
      <formula1>Lists!$G$2:$G$11</formula1>
      <formula2>0</formula2>
    </dataValidation>
    <dataValidation sqref="K2:K500" showDropDown="0" showInputMessage="0" showErrorMessage="1" allowBlank="0" errorTitle="Not in list" error="Pick a value from the Currency list." type="list" errorStyle="stop" operator="between">
      <formula1>Lists!$A$2:$A$4</formula1>
      <formula2>0</formula2>
    </dataValidation>
    <dataValidation sqref="L2:L500" showDropDown="0" showInputMessage="0" showErrorMessage="1" allowBlank="0" errorTitle="Not in list" error="Pick a value from the Incoterm list." type="list" errorStyle="stop" operator="between">
      <formula1>Lists!$B$2:$B$8</formula1>
      <formula2>0</formula2>
    </dataValidation>
    <dataValidation sqref="M2:M500" showDropDown="0" showInputMessage="0" showErrorMessage="1" allowBlank="0" errorTitle="Not in list" error="Pick a value from the PaymentTerms list." type="list" errorStyle="stop" operator="between">
      <formula1>Lists!$C$2:$C$5</formula1>
      <formula2>0</formula2>
    </dataValidation>
    <dataValidation sqref="N2:N500" showDropDown="0" showInputMessage="0" showErrorMessage="1" allowBlank="1" error="Enter a number of zero or more." type="decimal" errorStyle="stop" operator="greaterThanOrEqual">
      <formula1>0</formula1>
      <formula2>0</formula2>
    </dataValidation>
    <dataValidation sqref="P2:P500" showDropDown="0" showInputMessage="0" showErrorMessage="1" allowBlank="1" errorTitle="Not in list" error="Pick a value from the Language list." type="list" errorStyle="stop" operator="between">
      <formula1>Lists!$E$2:$E$3</formula1>
      <formula2>0</formula2>
    </dataValidation>
    <dataValidation sqref="Q2:Q500" showDropDown="0" showInputMessage="0" showErrorMessage="1" allowBlank="0" errorTitle="Not in list" error="Pick a value from the YesNo list." type="list" errorStyle="stop" operator="between">
      <formula1>Lists!$D$2:$D$3</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M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21" min="1" max="1"/>
    <col width="17" customWidth="1" style="21" min="2" max="2"/>
    <col width="14" customWidth="1" style="21" min="3" max="4"/>
    <col width="26" customWidth="1" style="21" min="5" max="5"/>
    <col width="14" customWidth="1" style="21" min="6" max="7"/>
    <col width="20" customWidth="1" style="21" min="8" max="8"/>
    <col width="18" customWidth="1" style="21" min="9" max="9"/>
    <col width="14" customWidth="1" style="21" min="10" max="10"/>
    <col width="21" customWidth="1" style="21" min="11" max="11"/>
    <col width="23" customWidth="1" style="21" min="12" max="12"/>
    <col width="14" customWidth="1" style="21" min="13" max="13"/>
  </cols>
  <sheetData>
    <row r="1" ht="31.5" customHeight="1" s="22">
      <c r="A1" s="32" t="inlineStr">
        <is>
          <t>product_code *</t>
        </is>
      </c>
      <c r="B1" s="32" t="inlineStr">
        <is>
          <t>flower_type *</t>
        </is>
      </c>
      <c r="C1" s="32" t="inlineStr">
        <is>
          <t>variety *</t>
        </is>
      </c>
      <c r="D1" s="33" t="inlineStr">
        <is>
          <t>colour</t>
        </is>
      </c>
      <c r="E1" s="33" t="inlineStr">
        <is>
          <t>floricode_product_id</t>
        </is>
      </c>
      <c r="F1" s="33" t="inlineStr">
        <is>
          <t>vbn_code</t>
        </is>
      </c>
      <c r="G1" s="32" t="inlineStr">
        <is>
          <t>grade *</t>
        </is>
      </c>
      <c r="H1" s="32" t="inlineStr">
        <is>
          <t>stem_length_cm *</t>
        </is>
      </c>
      <c r="I1" s="33" t="inlineStr">
        <is>
          <t>head_size_cm</t>
        </is>
      </c>
      <c r="J1" s="33" t="inlineStr">
        <is>
          <t>maturity</t>
        </is>
      </c>
      <c r="K1" s="32" t="inlineStr">
        <is>
          <t>stems_per_bunch *</t>
        </is>
      </c>
      <c r="L1" s="33" t="inlineStr">
        <is>
          <t>default_farm_code</t>
        </is>
      </c>
      <c r="M1" s="32" t="inlineStr">
        <is>
          <t>active *</t>
        </is>
      </c>
    </row>
    <row r="2" ht="15" customHeight="1" s="22">
      <c r="A2" s="34" t="inlineStr">
        <is>
          <t>ROS-RN-A1-70</t>
        </is>
      </c>
      <c r="B2" s="34" t="inlineStr">
        <is>
          <t>Rose</t>
        </is>
      </c>
      <c r="C2" s="34" t="inlineStr">
        <is>
          <t>Red Naomi</t>
        </is>
      </c>
      <c r="D2" s="34" t="inlineStr">
        <is>
          <t>Red</t>
        </is>
      </c>
      <c r="E2" s="34" t="n"/>
      <c r="F2" s="34" t="n"/>
      <c r="G2" s="34" t="inlineStr">
        <is>
          <t>A1</t>
        </is>
      </c>
      <c r="H2" s="34" t="n">
        <v>70</v>
      </c>
      <c r="I2" s="34" t="n">
        <v>5.5</v>
      </c>
      <c r="J2" s="34" t="inlineStr">
        <is>
          <t>Stage 2</t>
        </is>
      </c>
      <c r="K2" s="34" t="n">
        <v>10</v>
      </c>
      <c r="L2" s="34" t="inlineStr">
        <is>
          <t>KIBO</t>
        </is>
      </c>
      <c r="M2" s="34" t="inlineStr">
        <is>
          <t>Y</t>
        </is>
      </c>
    </row>
  </sheetData>
  <autoFilter ref="A1:M1"/>
  <dataValidations count="4">
    <dataValidation sqref="I2:I500" showDropDown="0" showInputMessage="0" showErrorMessage="1" allowBlank="1" error="Enter a number of zero or more." type="decimal" errorStyle="stop" operator="greaterThanOrEqual">
      <formula1>0</formula1>
      <formula2>0</formula2>
    </dataValidation>
    <dataValidation sqref="H2:H500 K2:K500" showDropDown="0" showInputMessage="0" showErrorMessage="1" allowBlank="0" error="Enter a whole number of 1 or more." type="whole" errorStyle="stop" operator="greaterThanOrEqual">
      <formula1>1</formula1>
      <formula2>0</formula2>
    </dataValidation>
    <dataValidation sqref="J2:J500" showDropDown="0" showInputMessage="0" showErrorMessage="1" allowBlank="1" errorTitle="Not in list" error="Pick a value from the Maturity list." type="list" errorStyle="stop" operator="between">
      <formula1>Lists!$F$2:$F$5</formula1>
      <formula2>0</formula2>
    </dataValidation>
    <dataValidation sqref="M2:M500" showDropDown="0" showInputMessage="0" showErrorMessage="1" allowBlank="0" errorTitle="Not in list" error="Pick a value from the YesNo list." type="list" errorStyle="stop" operator="between">
      <formula1>Lists!$D$2:$D$3</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I50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1" min="1" max="1"/>
    <col width="17" customWidth="1" style="21" min="2" max="2"/>
    <col width="15" customWidth="1" style="21" min="3" max="3"/>
    <col width="14" customWidth="1" style="21" min="4" max="4"/>
    <col width="15" customWidth="1" style="21" min="5" max="5"/>
    <col width="20" customWidth="1" style="21" min="6" max="6"/>
    <col width="19" customWidth="1" style="21" min="7" max="7"/>
    <col width="24" customWidth="1" style="21" min="8" max="8"/>
    <col width="14" customWidth="1" style="21" min="9" max="9"/>
  </cols>
  <sheetData>
    <row r="1" ht="31.5" customHeight="1" s="22">
      <c r="A1" s="32" t="inlineStr">
        <is>
          <t>box_code *</t>
        </is>
      </c>
      <c r="B1" s="33" t="inlineStr">
        <is>
          <t>description</t>
        </is>
      </c>
      <c r="C1" s="32" t="inlineStr">
        <is>
          <t>length_cm *</t>
        </is>
      </c>
      <c r="D1" s="32" t="inlineStr">
        <is>
          <t>width_cm *</t>
        </is>
      </c>
      <c r="E1" s="32" t="inlineStr">
        <is>
          <t>height_cm *</t>
        </is>
      </c>
      <c r="F1" s="33" t="inlineStr">
        <is>
          <t>tare_weight_kg</t>
        </is>
      </c>
      <c r="G1" s="33" t="inlineStr">
        <is>
          <t>volumetric_kg</t>
        </is>
      </c>
      <c r="H1" s="33" t="inlineStr">
        <is>
          <t>vbn_packaging_code</t>
        </is>
      </c>
      <c r="I1" s="32" t="inlineStr">
        <is>
          <t>active *</t>
        </is>
      </c>
    </row>
    <row r="2" ht="15" customHeight="1" s="22">
      <c r="A2" s="34" t="inlineStr">
        <is>
          <t>QB</t>
        </is>
      </c>
      <c r="B2" s="34" t="inlineStr">
        <is>
          <t>Quarter box</t>
        </is>
      </c>
      <c r="C2" s="34" t="n">
        <v>100</v>
      </c>
      <c r="D2" s="34" t="n">
        <v>25</v>
      </c>
      <c r="E2" s="34" t="n">
        <v>15</v>
      </c>
      <c r="F2" s="34" t="n">
        <v>1.2</v>
      </c>
      <c r="G2" s="35">
        <f>IF(AND(ISNUMBER(C2),ISNUMBER(D2),ISNUMBER(E2)),ROUND(C2*D2*E2/6000,2),"")</f>
        <v/>
      </c>
      <c r="H2" s="34" t="n"/>
      <c r="I2" s="34" t="inlineStr">
        <is>
          <t>Y</t>
        </is>
      </c>
    </row>
    <row r="3" ht="15" customHeight="1" s="22">
      <c r="G3" s="36">
        <f>IF(AND(ISNUMBER(C3),ISNUMBER(D3),ISNUMBER(E3)),ROUND(C3*D3*E3/6000,2),"")</f>
        <v/>
      </c>
    </row>
    <row r="4" ht="15" customHeight="1" s="22">
      <c r="G4" s="36">
        <f>IF(AND(ISNUMBER(C4),ISNUMBER(D4),ISNUMBER(E4)),ROUND(C4*D4*E4/6000,2),"")</f>
        <v/>
      </c>
    </row>
    <row r="5" ht="15" customHeight="1" s="22">
      <c r="G5" s="36">
        <f>IF(AND(ISNUMBER(C5),ISNUMBER(D5),ISNUMBER(E5)),ROUND(C5*D5*E5/6000,2),"")</f>
        <v/>
      </c>
    </row>
    <row r="6" ht="15" customHeight="1" s="22">
      <c r="G6" s="36">
        <f>IF(AND(ISNUMBER(C6),ISNUMBER(D6),ISNUMBER(E6)),ROUND(C6*D6*E6/6000,2),"")</f>
        <v/>
      </c>
    </row>
    <row r="7" ht="15" customHeight="1" s="22">
      <c r="G7" s="36">
        <f>IF(AND(ISNUMBER(C7),ISNUMBER(D7),ISNUMBER(E7)),ROUND(C7*D7*E7/6000,2),"")</f>
        <v/>
      </c>
    </row>
    <row r="8" ht="15" customHeight="1" s="22">
      <c r="G8" s="36">
        <f>IF(AND(ISNUMBER(C8),ISNUMBER(D8),ISNUMBER(E8)),ROUND(C8*D8*E8/6000,2),"")</f>
        <v/>
      </c>
    </row>
    <row r="9" ht="15" customHeight="1" s="22">
      <c r="G9" s="36">
        <f>IF(AND(ISNUMBER(C9),ISNUMBER(D9),ISNUMBER(E9)),ROUND(C9*D9*E9/6000,2),"")</f>
        <v/>
      </c>
    </row>
    <row r="10" ht="15" customHeight="1" s="22">
      <c r="G10" s="36">
        <f>IF(AND(ISNUMBER(C10),ISNUMBER(D10),ISNUMBER(E10)),ROUND(C10*D10*E10/6000,2),"")</f>
        <v/>
      </c>
    </row>
    <row r="11" ht="15" customHeight="1" s="22">
      <c r="G11" s="36">
        <f>IF(AND(ISNUMBER(C11),ISNUMBER(D11),ISNUMBER(E11)),ROUND(C11*D11*E11/6000,2),"")</f>
        <v/>
      </c>
    </row>
    <row r="12" ht="15" customHeight="1" s="22">
      <c r="G12" s="36">
        <f>IF(AND(ISNUMBER(C12),ISNUMBER(D12),ISNUMBER(E12)),ROUND(C12*D12*E12/6000,2),"")</f>
        <v/>
      </c>
    </row>
    <row r="13" ht="15" customHeight="1" s="22">
      <c r="G13" s="36">
        <f>IF(AND(ISNUMBER(C13),ISNUMBER(D13),ISNUMBER(E13)),ROUND(C13*D13*E13/6000,2),"")</f>
        <v/>
      </c>
    </row>
    <row r="14" ht="15" customHeight="1" s="22">
      <c r="G14" s="36">
        <f>IF(AND(ISNUMBER(C14),ISNUMBER(D14),ISNUMBER(E14)),ROUND(C14*D14*E14/6000,2),"")</f>
        <v/>
      </c>
    </row>
    <row r="15" ht="15" customHeight="1" s="22">
      <c r="G15" s="36">
        <f>IF(AND(ISNUMBER(C15),ISNUMBER(D15),ISNUMBER(E15)),ROUND(C15*D15*E15/6000,2),"")</f>
        <v/>
      </c>
    </row>
    <row r="16" ht="15" customHeight="1" s="22">
      <c r="G16" s="36">
        <f>IF(AND(ISNUMBER(C16),ISNUMBER(D16),ISNUMBER(E16)),ROUND(C16*D16*E16/6000,2),"")</f>
        <v/>
      </c>
    </row>
    <row r="17" ht="15" customHeight="1" s="22">
      <c r="G17" s="36">
        <f>IF(AND(ISNUMBER(C17),ISNUMBER(D17),ISNUMBER(E17)),ROUND(C17*D17*E17/6000,2),"")</f>
        <v/>
      </c>
    </row>
    <row r="18" ht="15" customHeight="1" s="22">
      <c r="G18" s="36">
        <f>IF(AND(ISNUMBER(C18),ISNUMBER(D18),ISNUMBER(E18)),ROUND(C18*D18*E18/6000,2),"")</f>
        <v/>
      </c>
    </row>
    <row r="19" ht="15" customHeight="1" s="22">
      <c r="G19" s="36">
        <f>IF(AND(ISNUMBER(C19),ISNUMBER(D19),ISNUMBER(E19)),ROUND(C19*D19*E19/6000,2),"")</f>
        <v/>
      </c>
    </row>
    <row r="20" ht="15" customHeight="1" s="22">
      <c r="G20" s="36">
        <f>IF(AND(ISNUMBER(C20),ISNUMBER(D20),ISNUMBER(E20)),ROUND(C20*D20*E20/6000,2),"")</f>
        <v/>
      </c>
    </row>
    <row r="21" ht="15" customHeight="1" s="22">
      <c r="G21" s="36">
        <f>IF(AND(ISNUMBER(C21),ISNUMBER(D21),ISNUMBER(E21)),ROUND(C21*D21*E21/6000,2),"")</f>
        <v/>
      </c>
    </row>
    <row r="22" ht="15" customHeight="1" s="22">
      <c r="G22" s="36">
        <f>IF(AND(ISNUMBER(C22),ISNUMBER(D22),ISNUMBER(E22)),ROUND(C22*D22*E22/6000,2),"")</f>
        <v/>
      </c>
    </row>
    <row r="23" ht="15" customHeight="1" s="22">
      <c r="G23" s="36">
        <f>IF(AND(ISNUMBER(C23),ISNUMBER(D23),ISNUMBER(E23)),ROUND(C23*D23*E23/6000,2),"")</f>
        <v/>
      </c>
    </row>
    <row r="24" ht="15" customHeight="1" s="22">
      <c r="G24" s="36">
        <f>IF(AND(ISNUMBER(C24),ISNUMBER(D24),ISNUMBER(E24)),ROUND(C24*D24*E24/6000,2),"")</f>
        <v/>
      </c>
    </row>
    <row r="25" ht="15" customHeight="1" s="22">
      <c r="G25" s="36">
        <f>IF(AND(ISNUMBER(C25),ISNUMBER(D25),ISNUMBER(E25)),ROUND(C25*D25*E25/6000,2),"")</f>
        <v/>
      </c>
    </row>
    <row r="26" ht="15" customHeight="1" s="22">
      <c r="G26" s="36">
        <f>IF(AND(ISNUMBER(C26),ISNUMBER(D26),ISNUMBER(E26)),ROUND(C26*D26*E26/6000,2),"")</f>
        <v/>
      </c>
    </row>
    <row r="27" ht="15" customHeight="1" s="22">
      <c r="G27" s="36">
        <f>IF(AND(ISNUMBER(C27),ISNUMBER(D27),ISNUMBER(E27)),ROUND(C27*D27*E27/6000,2),"")</f>
        <v/>
      </c>
    </row>
    <row r="28" ht="15" customHeight="1" s="22">
      <c r="G28" s="36">
        <f>IF(AND(ISNUMBER(C28),ISNUMBER(D28),ISNUMBER(E28)),ROUND(C28*D28*E28/6000,2),"")</f>
        <v/>
      </c>
    </row>
    <row r="29" ht="15" customHeight="1" s="22">
      <c r="G29" s="36">
        <f>IF(AND(ISNUMBER(C29),ISNUMBER(D29),ISNUMBER(E29)),ROUND(C29*D29*E29/6000,2),"")</f>
        <v/>
      </c>
    </row>
    <row r="30" ht="15" customHeight="1" s="22">
      <c r="G30" s="36">
        <f>IF(AND(ISNUMBER(C30),ISNUMBER(D30),ISNUMBER(E30)),ROUND(C30*D30*E30/6000,2),"")</f>
        <v/>
      </c>
    </row>
    <row r="31" ht="15" customHeight="1" s="22">
      <c r="G31" s="36">
        <f>IF(AND(ISNUMBER(C31),ISNUMBER(D31),ISNUMBER(E31)),ROUND(C31*D31*E31/6000,2),"")</f>
        <v/>
      </c>
    </row>
    <row r="32" ht="15" customHeight="1" s="22">
      <c r="G32" s="36">
        <f>IF(AND(ISNUMBER(C32),ISNUMBER(D32),ISNUMBER(E32)),ROUND(C32*D32*E32/6000,2),"")</f>
        <v/>
      </c>
    </row>
    <row r="33" ht="15" customHeight="1" s="22">
      <c r="G33" s="36">
        <f>IF(AND(ISNUMBER(C33),ISNUMBER(D33),ISNUMBER(E33)),ROUND(C33*D33*E33/6000,2),"")</f>
        <v/>
      </c>
    </row>
    <row r="34" ht="15" customHeight="1" s="22">
      <c r="G34" s="36">
        <f>IF(AND(ISNUMBER(C34),ISNUMBER(D34),ISNUMBER(E34)),ROUND(C34*D34*E34/6000,2),"")</f>
        <v/>
      </c>
    </row>
    <row r="35" ht="15" customHeight="1" s="22">
      <c r="G35" s="36">
        <f>IF(AND(ISNUMBER(C35),ISNUMBER(D35),ISNUMBER(E35)),ROUND(C35*D35*E35/6000,2),"")</f>
        <v/>
      </c>
    </row>
    <row r="36" ht="15" customHeight="1" s="22">
      <c r="G36" s="36">
        <f>IF(AND(ISNUMBER(C36),ISNUMBER(D36),ISNUMBER(E36)),ROUND(C36*D36*E36/6000,2),"")</f>
        <v/>
      </c>
    </row>
    <row r="37" ht="15" customHeight="1" s="22">
      <c r="G37" s="36">
        <f>IF(AND(ISNUMBER(C37),ISNUMBER(D37),ISNUMBER(E37)),ROUND(C37*D37*E37/6000,2),"")</f>
        <v/>
      </c>
    </row>
    <row r="38" ht="15" customHeight="1" s="22">
      <c r="G38" s="36">
        <f>IF(AND(ISNUMBER(C38),ISNUMBER(D38),ISNUMBER(E38)),ROUND(C38*D38*E38/6000,2),"")</f>
        <v/>
      </c>
    </row>
    <row r="39" ht="15" customHeight="1" s="22">
      <c r="G39" s="36">
        <f>IF(AND(ISNUMBER(C39),ISNUMBER(D39),ISNUMBER(E39)),ROUND(C39*D39*E39/6000,2),"")</f>
        <v/>
      </c>
    </row>
    <row r="40" ht="15" customHeight="1" s="22">
      <c r="G40" s="36">
        <f>IF(AND(ISNUMBER(C40),ISNUMBER(D40),ISNUMBER(E40)),ROUND(C40*D40*E40/6000,2),"")</f>
        <v/>
      </c>
    </row>
    <row r="41" ht="15" customHeight="1" s="22">
      <c r="G41" s="36">
        <f>IF(AND(ISNUMBER(C41),ISNUMBER(D41),ISNUMBER(E41)),ROUND(C41*D41*E41/6000,2),"")</f>
        <v/>
      </c>
    </row>
    <row r="42" ht="15" customHeight="1" s="22">
      <c r="G42" s="36">
        <f>IF(AND(ISNUMBER(C42),ISNUMBER(D42),ISNUMBER(E42)),ROUND(C42*D42*E42/6000,2),"")</f>
        <v/>
      </c>
    </row>
    <row r="43" ht="15" customHeight="1" s="22">
      <c r="G43" s="36">
        <f>IF(AND(ISNUMBER(C43),ISNUMBER(D43),ISNUMBER(E43)),ROUND(C43*D43*E43/6000,2),"")</f>
        <v/>
      </c>
    </row>
    <row r="44" ht="15" customHeight="1" s="22">
      <c r="G44" s="36">
        <f>IF(AND(ISNUMBER(C44),ISNUMBER(D44),ISNUMBER(E44)),ROUND(C44*D44*E44/6000,2),"")</f>
        <v/>
      </c>
    </row>
    <row r="45" ht="15" customHeight="1" s="22">
      <c r="G45" s="36">
        <f>IF(AND(ISNUMBER(C45),ISNUMBER(D45),ISNUMBER(E45)),ROUND(C45*D45*E45/6000,2),"")</f>
        <v/>
      </c>
    </row>
    <row r="46" ht="15" customHeight="1" s="22">
      <c r="G46" s="36">
        <f>IF(AND(ISNUMBER(C46),ISNUMBER(D46),ISNUMBER(E46)),ROUND(C46*D46*E46/6000,2),"")</f>
        <v/>
      </c>
    </row>
    <row r="47" ht="15" customHeight="1" s="22">
      <c r="G47" s="36">
        <f>IF(AND(ISNUMBER(C47),ISNUMBER(D47),ISNUMBER(E47)),ROUND(C47*D47*E47/6000,2),"")</f>
        <v/>
      </c>
    </row>
    <row r="48" ht="15" customHeight="1" s="22">
      <c r="G48" s="36">
        <f>IF(AND(ISNUMBER(C48),ISNUMBER(D48),ISNUMBER(E48)),ROUND(C48*D48*E48/6000,2),"")</f>
        <v/>
      </c>
    </row>
    <row r="49" ht="15" customHeight="1" s="22">
      <c r="G49" s="36">
        <f>IF(AND(ISNUMBER(C49),ISNUMBER(D49),ISNUMBER(E49)),ROUND(C49*D49*E49/6000,2),"")</f>
        <v/>
      </c>
    </row>
    <row r="50" ht="15" customHeight="1" s="22">
      <c r="G50" s="36">
        <f>IF(AND(ISNUMBER(C50),ISNUMBER(D50),ISNUMBER(E50)),ROUND(C50*D50*E50/6000,2),"")</f>
        <v/>
      </c>
    </row>
    <row r="51" ht="15" customHeight="1" s="22">
      <c r="G51" s="36">
        <f>IF(AND(ISNUMBER(C51),ISNUMBER(D51),ISNUMBER(E51)),ROUND(C51*D51*E51/6000,2),"")</f>
        <v/>
      </c>
    </row>
    <row r="52" ht="15" customHeight="1" s="22">
      <c r="G52" s="36">
        <f>IF(AND(ISNUMBER(C52),ISNUMBER(D52),ISNUMBER(E52)),ROUND(C52*D52*E52/6000,2),"")</f>
        <v/>
      </c>
    </row>
    <row r="53" ht="15" customHeight="1" s="22">
      <c r="G53" s="36">
        <f>IF(AND(ISNUMBER(C53),ISNUMBER(D53),ISNUMBER(E53)),ROUND(C53*D53*E53/6000,2),"")</f>
        <v/>
      </c>
    </row>
    <row r="54" ht="15" customHeight="1" s="22">
      <c r="G54" s="36">
        <f>IF(AND(ISNUMBER(C54),ISNUMBER(D54),ISNUMBER(E54)),ROUND(C54*D54*E54/6000,2),"")</f>
        <v/>
      </c>
    </row>
    <row r="55" ht="15" customHeight="1" s="22">
      <c r="G55" s="36">
        <f>IF(AND(ISNUMBER(C55),ISNUMBER(D55),ISNUMBER(E55)),ROUND(C55*D55*E55/6000,2),"")</f>
        <v/>
      </c>
    </row>
    <row r="56" ht="15" customHeight="1" s="22">
      <c r="G56" s="36">
        <f>IF(AND(ISNUMBER(C56),ISNUMBER(D56),ISNUMBER(E56)),ROUND(C56*D56*E56/6000,2),"")</f>
        <v/>
      </c>
    </row>
    <row r="57" ht="15" customHeight="1" s="22">
      <c r="G57" s="36">
        <f>IF(AND(ISNUMBER(C57),ISNUMBER(D57),ISNUMBER(E57)),ROUND(C57*D57*E57/6000,2),"")</f>
        <v/>
      </c>
    </row>
    <row r="58" ht="15" customHeight="1" s="22">
      <c r="G58" s="36">
        <f>IF(AND(ISNUMBER(C58),ISNUMBER(D58),ISNUMBER(E58)),ROUND(C58*D58*E58/6000,2),"")</f>
        <v/>
      </c>
    </row>
    <row r="59" ht="15" customHeight="1" s="22">
      <c r="G59" s="36">
        <f>IF(AND(ISNUMBER(C59),ISNUMBER(D59),ISNUMBER(E59)),ROUND(C59*D59*E59/6000,2),"")</f>
        <v/>
      </c>
    </row>
    <row r="60" ht="15" customHeight="1" s="22">
      <c r="G60" s="36">
        <f>IF(AND(ISNUMBER(C60),ISNUMBER(D60),ISNUMBER(E60)),ROUND(C60*D60*E60/6000,2),"")</f>
        <v/>
      </c>
    </row>
    <row r="61" ht="15" customHeight="1" s="22">
      <c r="G61" s="36">
        <f>IF(AND(ISNUMBER(C61),ISNUMBER(D61),ISNUMBER(E61)),ROUND(C61*D61*E61/6000,2),"")</f>
        <v/>
      </c>
    </row>
    <row r="62" ht="15" customHeight="1" s="22">
      <c r="G62" s="36">
        <f>IF(AND(ISNUMBER(C62),ISNUMBER(D62),ISNUMBER(E62)),ROUND(C62*D62*E62/6000,2),"")</f>
        <v/>
      </c>
    </row>
    <row r="63" ht="15" customHeight="1" s="22">
      <c r="G63" s="36">
        <f>IF(AND(ISNUMBER(C63),ISNUMBER(D63),ISNUMBER(E63)),ROUND(C63*D63*E63/6000,2),"")</f>
        <v/>
      </c>
    </row>
    <row r="64" ht="15" customHeight="1" s="22">
      <c r="G64" s="36">
        <f>IF(AND(ISNUMBER(C64),ISNUMBER(D64),ISNUMBER(E64)),ROUND(C64*D64*E64/6000,2),"")</f>
        <v/>
      </c>
    </row>
    <row r="65" ht="15" customHeight="1" s="22">
      <c r="G65" s="36">
        <f>IF(AND(ISNUMBER(C65),ISNUMBER(D65),ISNUMBER(E65)),ROUND(C65*D65*E65/6000,2),"")</f>
        <v/>
      </c>
    </row>
    <row r="66" ht="15" customHeight="1" s="22">
      <c r="G66" s="36">
        <f>IF(AND(ISNUMBER(C66),ISNUMBER(D66),ISNUMBER(E66)),ROUND(C66*D66*E66/6000,2),"")</f>
        <v/>
      </c>
    </row>
    <row r="67" ht="15" customHeight="1" s="22">
      <c r="G67" s="36">
        <f>IF(AND(ISNUMBER(C67),ISNUMBER(D67),ISNUMBER(E67)),ROUND(C67*D67*E67/6000,2),"")</f>
        <v/>
      </c>
    </row>
    <row r="68" ht="15" customHeight="1" s="22">
      <c r="G68" s="36">
        <f>IF(AND(ISNUMBER(C68),ISNUMBER(D68),ISNUMBER(E68)),ROUND(C68*D68*E68/6000,2),"")</f>
        <v/>
      </c>
    </row>
    <row r="69" ht="15" customHeight="1" s="22">
      <c r="G69" s="36">
        <f>IF(AND(ISNUMBER(C69),ISNUMBER(D69),ISNUMBER(E69)),ROUND(C69*D69*E69/6000,2),"")</f>
        <v/>
      </c>
    </row>
    <row r="70" ht="15" customHeight="1" s="22">
      <c r="G70" s="36">
        <f>IF(AND(ISNUMBER(C70),ISNUMBER(D70),ISNUMBER(E70)),ROUND(C70*D70*E70/6000,2),"")</f>
        <v/>
      </c>
    </row>
    <row r="71" ht="15" customHeight="1" s="22">
      <c r="G71" s="36">
        <f>IF(AND(ISNUMBER(C71),ISNUMBER(D71),ISNUMBER(E71)),ROUND(C71*D71*E71/6000,2),"")</f>
        <v/>
      </c>
    </row>
    <row r="72" ht="15" customHeight="1" s="22">
      <c r="G72" s="36">
        <f>IF(AND(ISNUMBER(C72),ISNUMBER(D72),ISNUMBER(E72)),ROUND(C72*D72*E72/6000,2),"")</f>
        <v/>
      </c>
    </row>
    <row r="73" ht="15" customHeight="1" s="22">
      <c r="G73" s="36">
        <f>IF(AND(ISNUMBER(C73),ISNUMBER(D73),ISNUMBER(E73)),ROUND(C73*D73*E73/6000,2),"")</f>
        <v/>
      </c>
    </row>
    <row r="74" ht="15" customHeight="1" s="22">
      <c r="G74" s="36">
        <f>IF(AND(ISNUMBER(C74),ISNUMBER(D74),ISNUMBER(E74)),ROUND(C74*D74*E74/6000,2),"")</f>
        <v/>
      </c>
    </row>
    <row r="75" ht="15" customHeight="1" s="22">
      <c r="G75" s="36">
        <f>IF(AND(ISNUMBER(C75),ISNUMBER(D75),ISNUMBER(E75)),ROUND(C75*D75*E75/6000,2),"")</f>
        <v/>
      </c>
    </row>
    <row r="76" ht="15" customHeight="1" s="22">
      <c r="G76" s="36">
        <f>IF(AND(ISNUMBER(C76),ISNUMBER(D76),ISNUMBER(E76)),ROUND(C76*D76*E76/6000,2),"")</f>
        <v/>
      </c>
    </row>
    <row r="77" ht="15" customHeight="1" s="22">
      <c r="G77" s="36">
        <f>IF(AND(ISNUMBER(C77),ISNUMBER(D77),ISNUMBER(E77)),ROUND(C77*D77*E77/6000,2),"")</f>
        <v/>
      </c>
    </row>
    <row r="78" ht="15" customHeight="1" s="22">
      <c r="G78" s="36">
        <f>IF(AND(ISNUMBER(C78),ISNUMBER(D78),ISNUMBER(E78)),ROUND(C78*D78*E78/6000,2),"")</f>
        <v/>
      </c>
    </row>
    <row r="79" ht="15" customHeight="1" s="22">
      <c r="G79" s="36">
        <f>IF(AND(ISNUMBER(C79),ISNUMBER(D79),ISNUMBER(E79)),ROUND(C79*D79*E79/6000,2),"")</f>
        <v/>
      </c>
    </row>
    <row r="80" ht="15" customHeight="1" s="22">
      <c r="G80" s="36">
        <f>IF(AND(ISNUMBER(C80),ISNUMBER(D80),ISNUMBER(E80)),ROUND(C80*D80*E80/6000,2),"")</f>
        <v/>
      </c>
    </row>
    <row r="81" ht="15" customHeight="1" s="22">
      <c r="G81" s="36">
        <f>IF(AND(ISNUMBER(C81),ISNUMBER(D81),ISNUMBER(E81)),ROUND(C81*D81*E81/6000,2),"")</f>
        <v/>
      </c>
    </row>
    <row r="82" ht="15" customHeight="1" s="22">
      <c r="G82" s="36">
        <f>IF(AND(ISNUMBER(C82),ISNUMBER(D82),ISNUMBER(E82)),ROUND(C82*D82*E82/6000,2),"")</f>
        <v/>
      </c>
    </row>
    <row r="83" ht="15" customHeight="1" s="22">
      <c r="G83" s="36">
        <f>IF(AND(ISNUMBER(C83),ISNUMBER(D83),ISNUMBER(E83)),ROUND(C83*D83*E83/6000,2),"")</f>
        <v/>
      </c>
    </row>
    <row r="84" ht="15" customHeight="1" s="22">
      <c r="G84" s="36">
        <f>IF(AND(ISNUMBER(C84),ISNUMBER(D84),ISNUMBER(E84)),ROUND(C84*D84*E84/6000,2),"")</f>
        <v/>
      </c>
    </row>
    <row r="85" ht="15" customHeight="1" s="22">
      <c r="G85" s="36">
        <f>IF(AND(ISNUMBER(C85),ISNUMBER(D85),ISNUMBER(E85)),ROUND(C85*D85*E85/6000,2),"")</f>
        <v/>
      </c>
    </row>
    <row r="86" ht="15" customHeight="1" s="22">
      <c r="G86" s="36">
        <f>IF(AND(ISNUMBER(C86),ISNUMBER(D86),ISNUMBER(E86)),ROUND(C86*D86*E86/6000,2),"")</f>
        <v/>
      </c>
    </row>
    <row r="87" ht="15" customHeight="1" s="22">
      <c r="G87" s="36">
        <f>IF(AND(ISNUMBER(C87),ISNUMBER(D87),ISNUMBER(E87)),ROUND(C87*D87*E87/6000,2),"")</f>
        <v/>
      </c>
    </row>
    <row r="88" ht="15" customHeight="1" s="22">
      <c r="G88" s="36">
        <f>IF(AND(ISNUMBER(C88),ISNUMBER(D88),ISNUMBER(E88)),ROUND(C88*D88*E88/6000,2),"")</f>
        <v/>
      </c>
    </row>
    <row r="89" ht="15" customHeight="1" s="22">
      <c r="G89" s="36">
        <f>IF(AND(ISNUMBER(C89),ISNUMBER(D89),ISNUMBER(E89)),ROUND(C89*D89*E89/6000,2),"")</f>
        <v/>
      </c>
    </row>
    <row r="90" ht="15" customHeight="1" s="22">
      <c r="G90" s="36">
        <f>IF(AND(ISNUMBER(C90),ISNUMBER(D90),ISNUMBER(E90)),ROUND(C90*D90*E90/6000,2),"")</f>
        <v/>
      </c>
    </row>
    <row r="91" ht="15" customHeight="1" s="22">
      <c r="G91" s="36">
        <f>IF(AND(ISNUMBER(C91),ISNUMBER(D91),ISNUMBER(E91)),ROUND(C91*D91*E91/6000,2),"")</f>
        <v/>
      </c>
    </row>
    <row r="92" ht="15" customHeight="1" s="22">
      <c r="G92" s="36">
        <f>IF(AND(ISNUMBER(C92),ISNUMBER(D92),ISNUMBER(E92)),ROUND(C92*D92*E92/6000,2),"")</f>
        <v/>
      </c>
    </row>
    <row r="93" ht="15" customHeight="1" s="22">
      <c r="G93" s="36">
        <f>IF(AND(ISNUMBER(C93),ISNUMBER(D93),ISNUMBER(E93)),ROUND(C93*D93*E93/6000,2),"")</f>
        <v/>
      </c>
    </row>
    <row r="94" ht="15" customHeight="1" s="22">
      <c r="G94" s="36">
        <f>IF(AND(ISNUMBER(C94),ISNUMBER(D94),ISNUMBER(E94)),ROUND(C94*D94*E94/6000,2),"")</f>
        <v/>
      </c>
    </row>
    <row r="95" ht="15" customHeight="1" s="22">
      <c r="G95" s="36">
        <f>IF(AND(ISNUMBER(C95),ISNUMBER(D95),ISNUMBER(E95)),ROUND(C95*D95*E95/6000,2),"")</f>
        <v/>
      </c>
    </row>
    <row r="96" ht="15" customHeight="1" s="22">
      <c r="G96" s="36">
        <f>IF(AND(ISNUMBER(C96),ISNUMBER(D96),ISNUMBER(E96)),ROUND(C96*D96*E96/6000,2),"")</f>
        <v/>
      </c>
    </row>
    <row r="97" ht="15" customHeight="1" s="22">
      <c r="G97" s="36">
        <f>IF(AND(ISNUMBER(C97),ISNUMBER(D97),ISNUMBER(E97)),ROUND(C97*D97*E97/6000,2),"")</f>
        <v/>
      </c>
    </row>
    <row r="98" ht="15" customHeight="1" s="22">
      <c r="G98" s="36">
        <f>IF(AND(ISNUMBER(C98),ISNUMBER(D98),ISNUMBER(E98)),ROUND(C98*D98*E98/6000,2),"")</f>
        <v/>
      </c>
    </row>
    <row r="99" ht="15" customHeight="1" s="22">
      <c r="G99" s="36">
        <f>IF(AND(ISNUMBER(C99),ISNUMBER(D99),ISNUMBER(E99)),ROUND(C99*D99*E99/6000,2),"")</f>
        <v/>
      </c>
    </row>
    <row r="100" ht="15" customHeight="1" s="22">
      <c r="G100" s="36">
        <f>IF(AND(ISNUMBER(C100),ISNUMBER(D100),ISNUMBER(E100)),ROUND(C100*D100*E100/6000,2),"")</f>
        <v/>
      </c>
    </row>
    <row r="101" ht="15" customHeight="1" s="22">
      <c r="G101" s="36">
        <f>IF(AND(ISNUMBER(C101),ISNUMBER(D101),ISNUMBER(E101)),ROUND(C101*D101*E101/6000,2),"")</f>
        <v/>
      </c>
    </row>
    <row r="102" ht="15" customHeight="1" s="22">
      <c r="G102" s="36">
        <f>IF(AND(ISNUMBER(C102),ISNUMBER(D102),ISNUMBER(E102)),ROUND(C102*D102*E102/6000,2),"")</f>
        <v/>
      </c>
    </row>
    <row r="103" ht="15" customHeight="1" s="22">
      <c r="G103" s="36">
        <f>IF(AND(ISNUMBER(C103),ISNUMBER(D103),ISNUMBER(E103)),ROUND(C103*D103*E103/6000,2),"")</f>
        <v/>
      </c>
    </row>
    <row r="104" ht="15" customHeight="1" s="22">
      <c r="G104" s="36">
        <f>IF(AND(ISNUMBER(C104),ISNUMBER(D104),ISNUMBER(E104)),ROUND(C104*D104*E104/6000,2),"")</f>
        <v/>
      </c>
    </row>
    <row r="105" ht="15" customHeight="1" s="22">
      <c r="G105" s="36">
        <f>IF(AND(ISNUMBER(C105),ISNUMBER(D105),ISNUMBER(E105)),ROUND(C105*D105*E105/6000,2),"")</f>
        <v/>
      </c>
    </row>
    <row r="106" ht="15" customHeight="1" s="22">
      <c r="G106" s="36">
        <f>IF(AND(ISNUMBER(C106),ISNUMBER(D106),ISNUMBER(E106)),ROUND(C106*D106*E106/6000,2),"")</f>
        <v/>
      </c>
    </row>
    <row r="107" ht="15" customHeight="1" s="22">
      <c r="G107" s="36">
        <f>IF(AND(ISNUMBER(C107),ISNUMBER(D107),ISNUMBER(E107)),ROUND(C107*D107*E107/6000,2),"")</f>
        <v/>
      </c>
    </row>
    <row r="108" ht="15" customHeight="1" s="22">
      <c r="G108" s="36">
        <f>IF(AND(ISNUMBER(C108),ISNUMBER(D108),ISNUMBER(E108)),ROUND(C108*D108*E108/6000,2),"")</f>
        <v/>
      </c>
    </row>
    <row r="109" ht="15" customHeight="1" s="22">
      <c r="G109" s="36">
        <f>IF(AND(ISNUMBER(C109),ISNUMBER(D109),ISNUMBER(E109)),ROUND(C109*D109*E109/6000,2),"")</f>
        <v/>
      </c>
    </row>
    <row r="110" ht="15" customHeight="1" s="22">
      <c r="G110" s="36">
        <f>IF(AND(ISNUMBER(C110),ISNUMBER(D110),ISNUMBER(E110)),ROUND(C110*D110*E110/6000,2),"")</f>
        <v/>
      </c>
    </row>
    <row r="111" ht="15" customHeight="1" s="22">
      <c r="G111" s="36">
        <f>IF(AND(ISNUMBER(C111),ISNUMBER(D111),ISNUMBER(E111)),ROUND(C111*D111*E111/6000,2),"")</f>
        <v/>
      </c>
    </row>
    <row r="112" ht="15" customHeight="1" s="22">
      <c r="G112" s="36">
        <f>IF(AND(ISNUMBER(C112),ISNUMBER(D112),ISNUMBER(E112)),ROUND(C112*D112*E112/6000,2),"")</f>
        <v/>
      </c>
    </row>
    <row r="113" ht="15" customHeight="1" s="22">
      <c r="G113" s="36">
        <f>IF(AND(ISNUMBER(C113),ISNUMBER(D113),ISNUMBER(E113)),ROUND(C113*D113*E113/6000,2),"")</f>
        <v/>
      </c>
    </row>
    <row r="114" ht="15" customHeight="1" s="22">
      <c r="G114" s="36">
        <f>IF(AND(ISNUMBER(C114),ISNUMBER(D114),ISNUMBER(E114)),ROUND(C114*D114*E114/6000,2),"")</f>
        <v/>
      </c>
    </row>
    <row r="115" ht="15" customHeight="1" s="22">
      <c r="G115" s="36">
        <f>IF(AND(ISNUMBER(C115),ISNUMBER(D115),ISNUMBER(E115)),ROUND(C115*D115*E115/6000,2),"")</f>
        <v/>
      </c>
    </row>
    <row r="116" ht="15" customHeight="1" s="22">
      <c r="G116" s="36">
        <f>IF(AND(ISNUMBER(C116),ISNUMBER(D116),ISNUMBER(E116)),ROUND(C116*D116*E116/6000,2),"")</f>
        <v/>
      </c>
    </row>
    <row r="117" ht="15" customHeight="1" s="22">
      <c r="G117" s="36">
        <f>IF(AND(ISNUMBER(C117),ISNUMBER(D117),ISNUMBER(E117)),ROUND(C117*D117*E117/6000,2),"")</f>
        <v/>
      </c>
    </row>
    <row r="118" ht="15" customHeight="1" s="22">
      <c r="G118" s="36">
        <f>IF(AND(ISNUMBER(C118),ISNUMBER(D118),ISNUMBER(E118)),ROUND(C118*D118*E118/6000,2),"")</f>
        <v/>
      </c>
    </row>
    <row r="119" ht="15" customHeight="1" s="22">
      <c r="G119" s="36">
        <f>IF(AND(ISNUMBER(C119),ISNUMBER(D119),ISNUMBER(E119)),ROUND(C119*D119*E119/6000,2),"")</f>
        <v/>
      </c>
    </row>
    <row r="120" ht="15" customHeight="1" s="22">
      <c r="G120" s="36">
        <f>IF(AND(ISNUMBER(C120),ISNUMBER(D120),ISNUMBER(E120)),ROUND(C120*D120*E120/6000,2),"")</f>
        <v/>
      </c>
    </row>
    <row r="121" ht="15" customHeight="1" s="22">
      <c r="G121" s="36">
        <f>IF(AND(ISNUMBER(C121),ISNUMBER(D121),ISNUMBER(E121)),ROUND(C121*D121*E121/6000,2),"")</f>
        <v/>
      </c>
    </row>
    <row r="122" ht="15" customHeight="1" s="22">
      <c r="G122" s="36">
        <f>IF(AND(ISNUMBER(C122),ISNUMBER(D122),ISNUMBER(E122)),ROUND(C122*D122*E122/6000,2),"")</f>
        <v/>
      </c>
    </row>
    <row r="123" ht="15" customHeight="1" s="22">
      <c r="G123" s="36">
        <f>IF(AND(ISNUMBER(C123),ISNUMBER(D123),ISNUMBER(E123)),ROUND(C123*D123*E123/6000,2),"")</f>
        <v/>
      </c>
    </row>
    <row r="124" ht="15" customHeight="1" s="22">
      <c r="G124" s="36">
        <f>IF(AND(ISNUMBER(C124),ISNUMBER(D124),ISNUMBER(E124)),ROUND(C124*D124*E124/6000,2),"")</f>
        <v/>
      </c>
    </row>
    <row r="125" ht="15" customHeight="1" s="22">
      <c r="G125" s="36">
        <f>IF(AND(ISNUMBER(C125),ISNUMBER(D125),ISNUMBER(E125)),ROUND(C125*D125*E125/6000,2),"")</f>
        <v/>
      </c>
    </row>
    <row r="126" ht="15" customHeight="1" s="22">
      <c r="G126" s="36">
        <f>IF(AND(ISNUMBER(C126),ISNUMBER(D126),ISNUMBER(E126)),ROUND(C126*D126*E126/6000,2),"")</f>
        <v/>
      </c>
    </row>
    <row r="127" ht="15" customHeight="1" s="22">
      <c r="G127" s="36">
        <f>IF(AND(ISNUMBER(C127),ISNUMBER(D127),ISNUMBER(E127)),ROUND(C127*D127*E127/6000,2),"")</f>
        <v/>
      </c>
    </row>
    <row r="128" ht="15" customHeight="1" s="22">
      <c r="G128" s="36">
        <f>IF(AND(ISNUMBER(C128),ISNUMBER(D128),ISNUMBER(E128)),ROUND(C128*D128*E128/6000,2),"")</f>
        <v/>
      </c>
    </row>
    <row r="129" ht="15" customHeight="1" s="22">
      <c r="G129" s="36">
        <f>IF(AND(ISNUMBER(C129),ISNUMBER(D129),ISNUMBER(E129)),ROUND(C129*D129*E129/6000,2),"")</f>
        <v/>
      </c>
    </row>
    <row r="130" ht="15" customHeight="1" s="22">
      <c r="G130" s="36">
        <f>IF(AND(ISNUMBER(C130),ISNUMBER(D130),ISNUMBER(E130)),ROUND(C130*D130*E130/6000,2),"")</f>
        <v/>
      </c>
    </row>
    <row r="131" ht="15" customHeight="1" s="22">
      <c r="G131" s="36">
        <f>IF(AND(ISNUMBER(C131),ISNUMBER(D131),ISNUMBER(E131)),ROUND(C131*D131*E131/6000,2),"")</f>
        <v/>
      </c>
    </row>
    <row r="132" ht="15" customHeight="1" s="22">
      <c r="G132" s="36">
        <f>IF(AND(ISNUMBER(C132),ISNUMBER(D132),ISNUMBER(E132)),ROUND(C132*D132*E132/6000,2),"")</f>
        <v/>
      </c>
    </row>
    <row r="133" ht="15" customHeight="1" s="22">
      <c r="G133" s="36">
        <f>IF(AND(ISNUMBER(C133),ISNUMBER(D133),ISNUMBER(E133)),ROUND(C133*D133*E133/6000,2),"")</f>
        <v/>
      </c>
    </row>
    <row r="134" ht="15" customHeight="1" s="22">
      <c r="G134" s="36">
        <f>IF(AND(ISNUMBER(C134),ISNUMBER(D134),ISNUMBER(E134)),ROUND(C134*D134*E134/6000,2),"")</f>
        <v/>
      </c>
    </row>
    <row r="135" ht="15" customHeight="1" s="22">
      <c r="G135" s="36">
        <f>IF(AND(ISNUMBER(C135),ISNUMBER(D135),ISNUMBER(E135)),ROUND(C135*D135*E135/6000,2),"")</f>
        <v/>
      </c>
    </row>
    <row r="136" ht="15" customHeight="1" s="22">
      <c r="G136" s="36">
        <f>IF(AND(ISNUMBER(C136),ISNUMBER(D136),ISNUMBER(E136)),ROUND(C136*D136*E136/6000,2),"")</f>
        <v/>
      </c>
    </row>
    <row r="137" ht="15" customHeight="1" s="22">
      <c r="G137" s="36">
        <f>IF(AND(ISNUMBER(C137),ISNUMBER(D137),ISNUMBER(E137)),ROUND(C137*D137*E137/6000,2),"")</f>
        <v/>
      </c>
    </row>
    <row r="138" ht="15" customHeight="1" s="22">
      <c r="G138" s="36">
        <f>IF(AND(ISNUMBER(C138),ISNUMBER(D138),ISNUMBER(E138)),ROUND(C138*D138*E138/6000,2),"")</f>
        <v/>
      </c>
    </row>
    <row r="139" ht="15" customHeight="1" s="22">
      <c r="G139" s="36">
        <f>IF(AND(ISNUMBER(C139),ISNUMBER(D139),ISNUMBER(E139)),ROUND(C139*D139*E139/6000,2),"")</f>
        <v/>
      </c>
    </row>
    <row r="140" ht="15" customHeight="1" s="22">
      <c r="G140" s="36">
        <f>IF(AND(ISNUMBER(C140),ISNUMBER(D140),ISNUMBER(E140)),ROUND(C140*D140*E140/6000,2),"")</f>
        <v/>
      </c>
    </row>
    <row r="141" ht="15" customHeight="1" s="22">
      <c r="G141" s="36">
        <f>IF(AND(ISNUMBER(C141),ISNUMBER(D141),ISNUMBER(E141)),ROUND(C141*D141*E141/6000,2),"")</f>
        <v/>
      </c>
    </row>
    <row r="142" ht="15" customHeight="1" s="22">
      <c r="G142" s="36">
        <f>IF(AND(ISNUMBER(C142),ISNUMBER(D142),ISNUMBER(E142)),ROUND(C142*D142*E142/6000,2),"")</f>
        <v/>
      </c>
    </row>
    <row r="143" ht="15" customHeight="1" s="22">
      <c r="G143" s="36">
        <f>IF(AND(ISNUMBER(C143),ISNUMBER(D143),ISNUMBER(E143)),ROUND(C143*D143*E143/6000,2),"")</f>
        <v/>
      </c>
    </row>
    <row r="144" ht="15" customHeight="1" s="22">
      <c r="G144" s="36">
        <f>IF(AND(ISNUMBER(C144),ISNUMBER(D144),ISNUMBER(E144)),ROUND(C144*D144*E144/6000,2),"")</f>
        <v/>
      </c>
    </row>
    <row r="145" ht="15" customHeight="1" s="22">
      <c r="G145" s="36">
        <f>IF(AND(ISNUMBER(C145),ISNUMBER(D145),ISNUMBER(E145)),ROUND(C145*D145*E145/6000,2),"")</f>
        <v/>
      </c>
    </row>
    <row r="146" ht="15" customHeight="1" s="22">
      <c r="G146" s="36">
        <f>IF(AND(ISNUMBER(C146),ISNUMBER(D146),ISNUMBER(E146)),ROUND(C146*D146*E146/6000,2),"")</f>
        <v/>
      </c>
    </row>
    <row r="147" ht="15" customHeight="1" s="22">
      <c r="G147" s="36">
        <f>IF(AND(ISNUMBER(C147),ISNUMBER(D147),ISNUMBER(E147)),ROUND(C147*D147*E147/6000,2),"")</f>
        <v/>
      </c>
    </row>
    <row r="148" ht="15" customHeight="1" s="22">
      <c r="G148" s="36">
        <f>IF(AND(ISNUMBER(C148),ISNUMBER(D148),ISNUMBER(E148)),ROUND(C148*D148*E148/6000,2),"")</f>
        <v/>
      </c>
    </row>
    <row r="149" ht="15" customHeight="1" s="22">
      <c r="G149" s="36">
        <f>IF(AND(ISNUMBER(C149),ISNUMBER(D149),ISNUMBER(E149)),ROUND(C149*D149*E149/6000,2),"")</f>
        <v/>
      </c>
    </row>
    <row r="150" ht="15" customHeight="1" s="22">
      <c r="G150" s="36">
        <f>IF(AND(ISNUMBER(C150),ISNUMBER(D150),ISNUMBER(E150)),ROUND(C150*D150*E150/6000,2),"")</f>
        <v/>
      </c>
    </row>
    <row r="151" ht="15" customHeight="1" s="22">
      <c r="G151" s="36">
        <f>IF(AND(ISNUMBER(C151),ISNUMBER(D151),ISNUMBER(E151)),ROUND(C151*D151*E151/6000,2),"")</f>
        <v/>
      </c>
    </row>
    <row r="152" ht="15" customHeight="1" s="22">
      <c r="G152" s="36">
        <f>IF(AND(ISNUMBER(C152),ISNUMBER(D152),ISNUMBER(E152)),ROUND(C152*D152*E152/6000,2),"")</f>
        <v/>
      </c>
    </row>
    <row r="153" ht="15" customHeight="1" s="22">
      <c r="G153" s="36">
        <f>IF(AND(ISNUMBER(C153),ISNUMBER(D153),ISNUMBER(E153)),ROUND(C153*D153*E153/6000,2),"")</f>
        <v/>
      </c>
    </row>
    <row r="154" ht="15" customHeight="1" s="22">
      <c r="G154" s="36">
        <f>IF(AND(ISNUMBER(C154),ISNUMBER(D154),ISNUMBER(E154)),ROUND(C154*D154*E154/6000,2),"")</f>
        <v/>
      </c>
    </row>
    <row r="155" ht="15" customHeight="1" s="22">
      <c r="G155" s="36">
        <f>IF(AND(ISNUMBER(C155),ISNUMBER(D155),ISNUMBER(E155)),ROUND(C155*D155*E155/6000,2),"")</f>
        <v/>
      </c>
    </row>
    <row r="156" ht="15" customHeight="1" s="22">
      <c r="G156" s="36">
        <f>IF(AND(ISNUMBER(C156),ISNUMBER(D156),ISNUMBER(E156)),ROUND(C156*D156*E156/6000,2),"")</f>
        <v/>
      </c>
    </row>
    <row r="157" ht="15" customHeight="1" s="22">
      <c r="G157" s="36">
        <f>IF(AND(ISNUMBER(C157),ISNUMBER(D157),ISNUMBER(E157)),ROUND(C157*D157*E157/6000,2),"")</f>
        <v/>
      </c>
    </row>
    <row r="158" ht="15" customHeight="1" s="22">
      <c r="G158" s="36">
        <f>IF(AND(ISNUMBER(C158),ISNUMBER(D158),ISNUMBER(E158)),ROUND(C158*D158*E158/6000,2),"")</f>
        <v/>
      </c>
    </row>
    <row r="159" ht="15" customHeight="1" s="22">
      <c r="G159" s="36">
        <f>IF(AND(ISNUMBER(C159),ISNUMBER(D159),ISNUMBER(E159)),ROUND(C159*D159*E159/6000,2),"")</f>
        <v/>
      </c>
    </row>
    <row r="160" ht="15" customHeight="1" s="22">
      <c r="G160" s="36">
        <f>IF(AND(ISNUMBER(C160),ISNUMBER(D160),ISNUMBER(E160)),ROUND(C160*D160*E160/6000,2),"")</f>
        <v/>
      </c>
    </row>
    <row r="161" ht="15" customHeight="1" s="22">
      <c r="G161" s="36">
        <f>IF(AND(ISNUMBER(C161),ISNUMBER(D161),ISNUMBER(E161)),ROUND(C161*D161*E161/6000,2),"")</f>
        <v/>
      </c>
    </row>
    <row r="162" ht="15" customHeight="1" s="22">
      <c r="G162" s="36">
        <f>IF(AND(ISNUMBER(C162),ISNUMBER(D162),ISNUMBER(E162)),ROUND(C162*D162*E162/6000,2),"")</f>
        <v/>
      </c>
    </row>
    <row r="163" ht="15" customHeight="1" s="22">
      <c r="G163" s="36">
        <f>IF(AND(ISNUMBER(C163),ISNUMBER(D163),ISNUMBER(E163)),ROUND(C163*D163*E163/6000,2),"")</f>
        <v/>
      </c>
    </row>
    <row r="164" ht="15" customHeight="1" s="22">
      <c r="G164" s="36">
        <f>IF(AND(ISNUMBER(C164),ISNUMBER(D164),ISNUMBER(E164)),ROUND(C164*D164*E164/6000,2),"")</f>
        <v/>
      </c>
    </row>
    <row r="165" ht="15" customHeight="1" s="22">
      <c r="G165" s="36">
        <f>IF(AND(ISNUMBER(C165),ISNUMBER(D165),ISNUMBER(E165)),ROUND(C165*D165*E165/6000,2),"")</f>
        <v/>
      </c>
    </row>
    <row r="166" ht="15" customHeight="1" s="22">
      <c r="G166" s="36">
        <f>IF(AND(ISNUMBER(C166),ISNUMBER(D166),ISNUMBER(E166)),ROUND(C166*D166*E166/6000,2),"")</f>
        <v/>
      </c>
    </row>
    <row r="167" ht="15" customHeight="1" s="22">
      <c r="G167" s="36">
        <f>IF(AND(ISNUMBER(C167),ISNUMBER(D167),ISNUMBER(E167)),ROUND(C167*D167*E167/6000,2),"")</f>
        <v/>
      </c>
    </row>
    <row r="168" ht="15" customHeight="1" s="22">
      <c r="G168" s="36">
        <f>IF(AND(ISNUMBER(C168),ISNUMBER(D168),ISNUMBER(E168)),ROUND(C168*D168*E168/6000,2),"")</f>
        <v/>
      </c>
    </row>
    <row r="169" ht="15" customHeight="1" s="22">
      <c r="G169" s="36">
        <f>IF(AND(ISNUMBER(C169),ISNUMBER(D169),ISNUMBER(E169)),ROUND(C169*D169*E169/6000,2),"")</f>
        <v/>
      </c>
    </row>
    <row r="170" ht="15" customHeight="1" s="22">
      <c r="G170" s="36">
        <f>IF(AND(ISNUMBER(C170),ISNUMBER(D170),ISNUMBER(E170)),ROUND(C170*D170*E170/6000,2),"")</f>
        <v/>
      </c>
    </row>
    <row r="171" ht="15" customHeight="1" s="22">
      <c r="G171" s="36">
        <f>IF(AND(ISNUMBER(C171),ISNUMBER(D171),ISNUMBER(E171)),ROUND(C171*D171*E171/6000,2),"")</f>
        <v/>
      </c>
    </row>
    <row r="172" ht="15" customHeight="1" s="22">
      <c r="G172" s="36">
        <f>IF(AND(ISNUMBER(C172),ISNUMBER(D172),ISNUMBER(E172)),ROUND(C172*D172*E172/6000,2),"")</f>
        <v/>
      </c>
    </row>
    <row r="173" ht="15" customHeight="1" s="22">
      <c r="G173" s="36">
        <f>IF(AND(ISNUMBER(C173),ISNUMBER(D173),ISNUMBER(E173)),ROUND(C173*D173*E173/6000,2),"")</f>
        <v/>
      </c>
    </row>
    <row r="174" ht="15" customHeight="1" s="22">
      <c r="G174" s="36">
        <f>IF(AND(ISNUMBER(C174),ISNUMBER(D174),ISNUMBER(E174)),ROUND(C174*D174*E174/6000,2),"")</f>
        <v/>
      </c>
    </row>
    <row r="175" ht="15" customHeight="1" s="22">
      <c r="G175" s="36">
        <f>IF(AND(ISNUMBER(C175),ISNUMBER(D175),ISNUMBER(E175)),ROUND(C175*D175*E175/6000,2),"")</f>
        <v/>
      </c>
    </row>
    <row r="176" ht="15" customHeight="1" s="22">
      <c r="G176" s="36">
        <f>IF(AND(ISNUMBER(C176),ISNUMBER(D176),ISNUMBER(E176)),ROUND(C176*D176*E176/6000,2),"")</f>
        <v/>
      </c>
    </row>
    <row r="177" ht="15" customHeight="1" s="22">
      <c r="G177" s="36">
        <f>IF(AND(ISNUMBER(C177),ISNUMBER(D177),ISNUMBER(E177)),ROUND(C177*D177*E177/6000,2),"")</f>
        <v/>
      </c>
    </row>
    <row r="178" ht="15" customHeight="1" s="22">
      <c r="G178" s="36">
        <f>IF(AND(ISNUMBER(C178),ISNUMBER(D178),ISNUMBER(E178)),ROUND(C178*D178*E178/6000,2),"")</f>
        <v/>
      </c>
    </row>
    <row r="179" ht="15" customHeight="1" s="22">
      <c r="G179" s="36">
        <f>IF(AND(ISNUMBER(C179),ISNUMBER(D179),ISNUMBER(E179)),ROUND(C179*D179*E179/6000,2),"")</f>
        <v/>
      </c>
    </row>
    <row r="180" ht="15" customHeight="1" s="22">
      <c r="G180" s="36">
        <f>IF(AND(ISNUMBER(C180),ISNUMBER(D180),ISNUMBER(E180)),ROUND(C180*D180*E180/6000,2),"")</f>
        <v/>
      </c>
    </row>
    <row r="181" ht="15" customHeight="1" s="22">
      <c r="G181" s="36">
        <f>IF(AND(ISNUMBER(C181),ISNUMBER(D181),ISNUMBER(E181)),ROUND(C181*D181*E181/6000,2),"")</f>
        <v/>
      </c>
    </row>
    <row r="182" ht="15" customHeight="1" s="22">
      <c r="G182" s="36">
        <f>IF(AND(ISNUMBER(C182),ISNUMBER(D182),ISNUMBER(E182)),ROUND(C182*D182*E182/6000,2),"")</f>
        <v/>
      </c>
    </row>
    <row r="183" ht="15" customHeight="1" s="22">
      <c r="G183" s="36">
        <f>IF(AND(ISNUMBER(C183),ISNUMBER(D183),ISNUMBER(E183)),ROUND(C183*D183*E183/6000,2),"")</f>
        <v/>
      </c>
    </row>
    <row r="184" ht="15" customHeight="1" s="22">
      <c r="G184" s="36">
        <f>IF(AND(ISNUMBER(C184),ISNUMBER(D184),ISNUMBER(E184)),ROUND(C184*D184*E184/6000,2),"")</f>
        <v/>
      </c>
    </row>
    <row r="185" ht="15" customHeight="1" s="22">
      <c r="G185" s="36">
        <f>IF(AND(ISNUMBER(C185),ISNUMBER(D185),ISNUMBER(E185)),ROUND(C185*D185*E185/6000,2),"")</f>
        <v/>
      </c>
    </row>
    <row r="186" ht="15" customHeight="1" s="22">
      <c r="G186" s="36">
        <f>IF(AND(ISNUMBER(C186),ISNUMBER(D186),ISNUMBER(E186)),ROUND(C186*D186*E186/6000,2),"")</f>
        <v/>
      </c>
    </row>
    <row r="187" ht="15" customHeight="1" s="22">
      <c r="G187" s="36">
        <f>IF(AND(ISNUMBER(C187),ISNUMBER(D187),ISNUMBER(E187)),ROUND(C187*D187*E187/6000,2),"")</f>
        <v/>
      </c>
    </row>
    <row r="188" ht="15" customHeight="1" s="22">
      <c r="G188" s="36">
        <f>IF(AND(ISNUMBER(C188),ISNUMBER(D188),ISNUMBER(E188)),ROUND(C188*D188*E188/6000,2),"")</f>
        <v/>
      </c>
    </row>
    <row r="189" ht="15" customHeight="1" s="22">
      <c r="G189" s="36">
        <f>IF(AND(ISNUMBER(C189),ISNUMBER(D189),ISNUMBER(E189)),ROUND(C189*D189*E189/6000,2),"")</f>
        <v/>
      </c>
    </row>
    <row r="190" ht="15" customHeight="1" s="22">
      <c r="G190" s="36">
        <f>IF(AND(ISNUMBER(C190),ISNUMBER(D190),ISNUMBER(E190)),ROUND(C190*D190*E190/6000,2),"")</f>
        <v/>
      </c>
    </row>
    <row r="191" ht="15" customHeight="1" s="22">
      <c r="G191" s="36">
        <f>IF(AND(ISNUMBER(C191),ISNUMBER(D191),ISNUMBER(E191)),ROUND(C191*D191*E191/6000,2),"")</f>
        <v/>
      </c>
    </row>
    <row r="192" ht="15" customHeight="1" s="22">
      <c r="G192" s="36">
        <f>IF(AND(ISNUMBER(C192),ISNUMBER(D192),ISNUMBER(E192)),ROUND(C192*D192*E192/6000,2),"")</f>
        <v/>
      </c>
    </row>
    <row r="193" ht="15" customHeight="1" s="22">
      <c r="G193" s="36">
        <f>IF(AND(ISNUMBER(C193),ISNUMBER(D193),ISNUMBER(E193)),ROUND(C193*D193*E193/6000,2),"")</f>
        <v/>
      </c>
    </row>
    <row r="194" ht="15" customHeight="1" s="22">
      <c r="G194" s="36">
        <f>IF(AND(ISNUMBER(C194),ISNUMBER(D194),ISNUMBER(E194)),ROUND(C194*D194*E194/6000,2),"")</f>
        <v/>
      </c>
    </row>
    <row r="195" ht="15" customHeight="1" s="22">
      <c r="G195" s="36">
        <f>IF(AND(ISNUMBER(C195),ISNUMBER(D195),ISNUMBER(E195)),ROUND(C195*D195*E195/6000,2),"")</f>
        <v/>
      </c>
    </row>
    <row r="196" ht="15" customHeight="1" s="22">
      <c r="G196" s="36">
        <f>IF(AND(ISNUMBER(C196),ISNUMBER(D196),ISNUMBER(E196)),ROUND(C196*D196*E196/6000,2),"")</f>
        <v/>
      </c>
    </row>
    <row r="197" ht="15" customHeight="1" s="22">
      <c r="G197" s="36">
        <f>IF(AND(ISNUMBER(C197),ISNUMBER(D197),ISNUMBER(E197)),ROUND(C197*D197*E197/6000,2),"")</f>
        <v/>
      </c>
    </row>
    <row r="198" ht="15" customHeight="1" s="22">
      <c r="G198" s="36">
        <f>IF(AND(ISNUMBER(C198),ISNUMBER(D198),ISNUMBER(E198)),ROUND(C198*D198*E198/6000,2),"")</f>
        <v/>
      </c>
    </row>
    <row r="199" ht="15" customHeight="1" s="22">
      <c r="G199" s="36">
        <f>IF(AND(ISNUMBER(C199),ISNUMBER(D199),ISNUMBER(E199)),ROUND(C199*D199*E199/6000,2),"")</f>
        <v/>
      </c>
    </row>
    <row r="200" ht="15" customHeight="1" s="22">
      <c r="G200" s="36">
        <f>IF(AND(ISNUMBER(C200),ISNUMBER(D200),ISNUMBER(E200)),ROUND(C200*D200*E200/6000,2),"")</f>
        <v/>
      </c>
    </row>
    <row r="201" ht="15" customHeight="1" s="22">
      <c r="G201" s="36">
        <f>IF(AND(ISNUMBER(C201),ISNUMBER(D201),ISNUMBER(E201)),ROUND(C201*D201*E201/6000,2),"")</f>
        <v/>
      </c>
    </row>
    <row r="202" ht="15" customHeight="1" s="22">
      <c r="G202" s="36">
        <f>IF(AND(ISNUMBER(C202),ISNUMBER(D202),ISNUMBER(E202)),ROUND(C202*D202*E202/6000,2),"")</f>
        <v/>
      </c>
    </row>
    <row r="203" ht="15" customHeight="1" s="22">
      <c r="G203" s="36">
        <f>IF(AND(ISNUMBER(C203),ISNUMBER(D203),ISNUMBER(E203)),ROUND(C203*D203*E203/6000,2),"")</f>
        <v/>
      </c>
    </row>
    <row r="204" ht="15" customHeight="1" s="22">
      <c r="G204" s="36">
        <f>IF(AND(ISNUMBER(C204),ISNUMBER(D204),ISNUMBER(E204)),ROUND(C204*D204*E204/6000,2),"")</f>
        <v/>
      </c>
    </row>
    <row r="205" ht="15" customHeight="1" s="22">
      <c r="G205" s="36">
        <f>IF(AND(ISNUMBER(C205),ISNUMBER(D205),ISNUMBER(E205)),ROUND(C205*D205*E205/6000,2),"")</f>
        <v/>
      </c>
    </row>
    <row r="206" ht="15" customHeight="1" s="22">
      <c r="G206" s="36">
        <f>IF(AND(ISNUMBER(C206),ISNUMBER(D206),ISNUMBER(E206)),ROUND(C206*D206*E206/6000,2),"")</f>
        <v/>
      </c>
    </row>
    <row r="207" ht="15" customHeight="1" s="22">
      <c r="G207" s="36">
        <f>IF(AND(ISNUMBER(C207),ISNUMBER(D207),ISNUMBER(E207)),ROUND(C207*D207*E207/6000,2),"")</f>
        <v/>
      </c>
    </row>
    <row r="208" ht="15" customHeight="1" s="22">
      <c r="G208" s="36">
        <f>IF(AND(ISNUMBER(C208),ISNUMBER(D208),ISNUMBER(E208)),ROUND(C208*D208*E208/6000,2),"")</f>
        <v/>
      </c>
    </row>
    <row r="209" ht="15" customHeight="1" s="22">
      <c r="G209" s="36">
        <f>IF(AND(ISNUMBER(C209),ISNUMBER(D209),ISNUMBER(E209)),ROUND(C209*D209*E209/6000,2),"")</f>
        <v/>
      </c>
    </row>
    <row r="210" ht="15" customHeight="1" s="22">
      <c r="G210" s="36">
        <f>IF(AND(ISNUMBER(C210),ISNUMBER(D210),ISNUMBER(E210)),ROUND(C210*D210*E210/6000,2),"")</f>
        <v/>
      </c>
    </row>
    <row r="211" ht="15" customHeight="1" s="22">
      <c r="G211" s="36">
        <f>IF(AND(ISNUMBER(C211),ISNUMBER(D211),ISNUMBER(E211)),ROUND(C211*D211*E211/6000,2),"")</f>
        <v/>
      </c>
    </row>
    <row r="212" ht="15" customHeight="1" s="22">
      <c r="G212" s="36">
        <f>IF(AND(ISNUMBER(C212),ISNUMBER(D212),ISNUMBER(E212)),ROUND(C212*D212*E212/6000,2),"")</f>
        <v/>
      </c>
    </row>
    <row r="213" ht="15" customHeight="1" s="22">
      <c r="G213" s="36">
        <f>IF(AND(ISNUMBER(C213),ISNUMBER(D213),ISNUMBER(E213)),ROUND(C213*D213*E213/6000,2),"")</f>
        <v/>
      </c>
    </row>
    <row r="214" ht="15" customHeight="1" s="22">
      <c r="G214" s="36">
        <f>IF(AND(ISNUMBER(C214),ISNUMBER(D214),ISNUMBER(E214)),ROUND(C214*D214*E214/6000,2),"")</f>
        <v/>
      </c>
    </row>
    <row r="215" ht="15" customHeight="1" s="22">
      <c r="G215" s="36">
        <f>IF(AND(ISNUMBER(C215),ISNUMBER(D215),ISNUMBER(E215)),ROUND(C215*D215*E215/6000,2),"")</f>
        <v/>
      </c>
    </row>
    <row r="216" ht="15" customHeight="1" s="22">
      <c r="G216" s="36">
        <f>IF(AND(ISNUMBER(C216),ISNUMBER(D216),ISNUMBER(E216)),ROUND(C216*D216*E216/6000,2),"")</f>
        <v/>
      </c>
    </row>
    <row r="217" ht="15" customHeight="1" s="22">
      <c r="G217" s="36">
        <f>IF(AND(ISNUMBER(C217),ISNUMBER(D217),ISNUMBER(E217)),ROUND(C217*D217*E217/6000,2),"")</f>
        <v/>
      </c>
    </row>
    <row r="218" ht="15" customHeight="1" s="22">
      <c r="G218" s="36">
        <f>IF(AND(ISNUMBER(C218),ISNUMBER(D218),ISNUMBER(E218)),ROUND(C218*D218*E218/6000,2),"")</f>
        <v/>
      </c>
    </row>
    <row r="219" ht="15" customHeight="1" s="22">
      <c r="G219" s="36">
        <f>IF(AND(ISNUMBER(C219),ISNUMBER(D219),ISNUMBER(E219)),ROUND(C219*D219*E219/6000,2),"")</f>
        <v/>
      </c>
    </row>
    <row r="220" ht="15" customHeight="1" s="22">
      <c r="G220" s="36">
        <f>IF(AND(ISNUMBER(C220),ISNUMBER(D220),ISNUMBER(E220)),ROUND(C220*D220*E220/6000,2),"")</f>
        <v/>
      </c>
    </row>
    <row r="221" ht="15" customHeight="1" s="22">
      <c r="G221" s="36">
        <f>IF(AND(ISNUMBER(C221),ISNUMBER(D221),ISNUMBER(E221)),ROUND(C221*D221*E221/6000,2),"")</f>
        <v/>
      </c>
    </row>
    <row r="222" ht="15" customHeight="1" s="22">
      <c r="G222" s="36">
        <f>IF(AND(ISNUMBER(C222),ISNUMBER(D222),ISNUMBER(E222)),ROUND(C222*D222*E222/6000,2),"")</f>
        <v/>
      </c>
    </row>
    <row r="223" ht="15" customHeight="1" s="22">
      <c r="G223" s="36">
        <f>IF(AND(ISNUMBER(C223),ISNUMBER(D223),ISNUMBER(E223)),ROUND(C223*D223*E223/6000,2),"")</f>
        <v/>
      </c>
    </row>
    <row r="224" ht="15" customHeight="1" s="22">
      <c r="G224" s="36">
        <f>IF(AND(ISNUMBER(C224),ISNUMBER(D224),ISNUMBER(E224)),ROUND(C224*D224*E224/6000,2),"")</f>
        <v/>
      </c>
    </row>
    <row r="225" ht="15" customHeight="1" s="22">
      <c r="G225" s="36">
        <f>IF(AND(ISNUMBER(C225),ISNUMBER(D225),ISNUMBER(E225)),ROUND(C225*D225*E225/6000,2),"")</f>
        <v/>
      </c>
    </row>
    <row r="226" ht="15" customHeight="1" s="22">
      <c r="G226" s="36">
        <f>IF(AND(ISNUMBER(C226),ISNUMBER(D226),ISNUMBER(E226)),ROUND(C226*D226*E226/6000,2),"")</f>
        <v/>
      </c>
    </row>
    <row r="227" ht="15" customHeight="1" s="22">
      <c r="G227" s="36">
        <f>IF(AND(ISNUMBER(C227),ISNUMBER(D227),ISNUMBER(E227)),ROUND(C227*D227*E227/6000,2),"")</f>
        <v/>
      </c>
    </row>
    <row r="228" ht="15" customHeight="1" s="22">
      <c r="G228" s="36">
        <f>IF(AND(ISNUMBER(C228),ISNUMBER(D228),ISNUMBER(E228)),ROUND(C228*D228*E228/6000,2),"")</f>
        <v/>
      </c>
    </row>
    <row r="229" ht="15" customHeight="1" s="22">
      <c r="G229" s="36">
        <f>IF(AND(ISNUMBER(C229),ISNUMBER(D229),ISNUMBER(E229)),ROUND(C229*D229*E229/6000,2),"")</f>
        <v/>
      </c>
    </row>
    <row r="230" ht="15" customHeight="1" s="22">
      <c r="G230" s="36">
        <f>IF(AND(ISNUMBER(C230),ISNUMBER(D230),ISNUMBER(E230)),ROUND(C230*D230*E230/6000,2),"")</f>
        <v/>
      </c>
    </row>
    <row r="231" ht="15" customHeight="1" s="22">
      <c r="G231" s="36">
        <f>IF(AND(ISNUMBER(C231),ISNUMBER(D231),ISNUMBER(E231)),ROUND(C231*D231*E231/6000,2),"")</f>
        <v/>
      </c>
    </row>
    <row r="232" ht="15" customHeight="1" s="22">
      <c r="G232" s="36">
        <f>IF(AND(ISNUMBER(C232),ISNUMBER(D232),ISNUMBER(E232)),ROUND(C232*D232*E232/6000,2),"")</f>
        <v/>
      </c>
    </row>
    <row r="233" ht="15" customHeight="1" s="22">
      <c r="G233" s="36">
        <f>IF(AND(ISNUMBER(C233),ISNUMBER(D233),ISNUMBER(E233)),ROUND(C233*D233*E233/6000,2),"")</f>
        <v/>
      </c>
    </row>
    <row r="234" ht="15" customHeight="1" s="22">
      <c r="G234" s="36">
        <f>IF(AND(ISNUMBER(C234),ISNUMBER(D234),ISNUMBER(E234)),ROUND(C234*D234*E234/6000,2),"")</f>
        <v/>
      </c>
    </row>
    <row r="235" ht="15" customHeight="1" s="22">
      <c r="G235" s="36">
        <f>IF(AND(ISNUMBER(C235),ISNUMBER(D235),ISNUMBER(E235)),ROUND(C235*D235*E235/6000,2),"")</f>
        <v/>
      </c>
    </row>
    <row r="236" ht="15" customHeight="1" s="22">
      <c r="G236" s="36">
        <f>IF(AND(ISNUMBER(C236),ISNUMBER(D236),ISNUMBER(E236)),ROUND(C236*D236*E236/6000,2),"")</f>
        <v/>
      </c>
    </row>
    <row r="237" ht="15" customHeight="1" s="22">
      <c r="G237" s="36">
        <f>IF(AND(ISNUMBER(C237),ISNUMBER(D237),ISNUMBER(E237)),ROUND(C237*D237*E237/6000,2),"")</f>
        <v/>
      </c>
    </row>
    <row r="238" ht="15" customHeight="1" s="22">
      <c r="G238" s="36">
        <f>IF(AND(ISNUMBER(C238),ISNUMBER(D238),ISNUMBER(E238)),ROUND(C238*D238*E238/6000,2),"")</f>
        <v/>
      </c>
    </row>
    <row r="239" ht="15" customHeight="1" s="22">
      <c r="G239" s="36">
        <f>IF(AND(ISNUMBER(C239),ISNUMBER(D239),ISNUMBER(E239)),ROUND(C239*D239*E239/6000,2),"")</f>
        <v/>
      </c>
    </row>
    <row r="240" ht="15" customHeight="1" s="22">
      <c r="G240" s="36">
        <f>IF(AND(ISNUMBER(C240),ISNUMBER(D240),ISNUMBER(E240)),ROUND(C240*D240*E240/6000,2),"")</f>
        <v/>
      </c>
    </row>
    <row r="241" ht="15" customHeight="1" s="22">
      <c r="G241" s="36">
        <f>IF(AND(ISNUMBER(C241),ISNUMBER(D241),ISNUMBER(E241)),ROUND(C241*D241*E241/6000,2),"")</f>
        <v/>
      </c>
    </row>
    <row r="242" ht="15" customHeight="1" s="22">
      <c r="G242" s="36">
        <f>IF(AND(ISNUMBER(C242),ISNUMBER(D242),ISNUMBER(E242)),ROUND(C242*D242*E242/6000,2),"")</f>
        <v/>
      </c>
    </row>
    <row r="243" ht="15" customHeight="1" s="22">
      <c r="G243" s="36">
        <f>IF(AND(ISNUMBER(C243),ISNUMBER(D243),ISNUMBER(E243)),ROUND(C243*D243*E243/6000,2),"")</f>
        <v/>
      </c>
    </row>
    <row r="244" ht="15" customHeight="1" s="22">
      <c r="G244" s="36">
        <f>IF(AND(ISNUMBER(C244),ISNUMBER(D244),ISNUMBER(E244)),ROUND(C244*D244*E244/6000,2),"")</f>
        <v/>
      </c>
    </row>
    <row r="245" ht="15" customHeight="1" s="22">
      <c r="G245" s="36">
        <f>IF(AND(ISNUMBER(C245),ISNUMBER(D245),ISNUMBER(E245)),ROUND(C245*D245*E245/6000,2),"")</f>
        <v/>
      </c>
    </row>
    <row r="246" ht="15" customHeight="1" s="22">
      <c r="G246" s="36">
        <f>IF(AND(ISNUMBER(C246),ISNUMBER(D246),ISNUMBER(E246)),ROUND(C246*D246*E246/6000,2),"")</f>
        <v/>
      </c>
    </row>
    <row r="247" ht="15" customHeight="1" s="22">
      <c r="G247" s="36">
        <f>IF(AND(ISNUMBER(C247),ISNUMBER(D247),ISNUMBER(E247)),ROUND(C247*D247*E247/6000,2),"")</f>
        <v/>
      </c>
    </row>
    <row r="248" ht="15" customHeight="1" s="22">
      <c r="G248" s="36">
        <f>IF(AND(ISNUMBER(C248),ISNUMBER(D248),ISNUMBER(E248)),ROUND(C248*D248*E248/6000,2),"")</f>
        <v/>
      </c>
    </row>
    <row r="249" ht="15" customHeight="1" s="22">
      <c r="G249" s="36">
        <f>IF(AND(ISNUMBER(C249),ISNUMBER(D249),ISNUMBER(E249)),ROUND(C249*D249*E249/6000,2),"")</f>
        <v/>
      </c>
    </row>
    <row r="250" ht="15" customHeight="1" s="22">
      <c r="G250" s="36">
        <f>IF(AND(ISNUMBER(C250),ISNUMBER(D250),ISNUMBER(E250)),ROUND(C250*D250*E250/6000,2),"")</f>
        <v/>
      </c>
    </row>
    <row r="251" ht="15" customHeight="1" s="22">
      <c r="G251" s="36">
        <f>IF(AND(ISNUMBER(C251),ISNUMBER(D251),ISNUMBER(E251)),ROUND(C251*D251*E251/6000,2),"")</f>
        <v/>
      </c>
    </row>
    <row r="252" ht="15" customHeight="1" s="22">
      <c r="G252" s="36">
        <f>IF(AND(ISNUMBER(C252),ISNUMBER(D252),ISNUMBER(E252)),ROUND(C252*D252*E252/6000,2),"")</f>
        <v/>
      </c>
    </row>
    <row r="253" ht="15" customHeight="1" s="22">
      <c r="G253" s="36">
        <f>IF(AND(ISNUMBER(C253),ISNUMBER(D253),ISNUMBER(E253)),ROUND(C253*D253*E253/6000,2),"")</f>
        <v/>
      </c>
    </row>
    <row r="254" ht="15" customHeight="1" s="22">
      <c r="G254" s="36">
        <f>IF(AND(ISNUMBER(C254),ISNUMBER(D254),ISNUMBER(E254)),ROUND(C254*D254*E254/6000,2),"")</f>
        <v/>
      </c>
    </row>
    <row r="255" ht="15" customHeight="1" s="22">
      <c r="G255" s="36">
        <f>IF(AND(ISNUMBER(C255),ISNUMBER(D255),ISNUMBER(E255)),ROUND(C255*D255*E255/6000,2),"")</f>
        <v/>
      </c>
    </row>
    <row r="256" ht="15" customHeight="1" s="22">
      <c r="G256" s="36">
        <f>IF(AND(ISNUMBER(C256),ISNUMBER(D256),ISNUMBER(E256)),ROUND(C256*D256*E256/6000,2),"")</f>
        <v/>
      </c>
    </row>
    <row r="257" ht="15" customHeight="1" s="22">
      <c r="G257" s="36">
        <f>IF(AND(ISNUMBER(C257),ISNUMBER(D257),ISNUMBER(E257)),ROUND(C257*D257*E257/6000,2),"")</f>
        <v/>
      </c>
    </row>
    <row r="258" ht="15" customHeight="1" s="22">
      <c r="G258" s="36">
        <f>IF(AND(ISNUMBER(C258),ISNUMBER(D258),ISNUMBER(E258)),ROUND(C258*D258*E258/6000,2),"")</f>
        <v/>
      </c>
    </row>
    <row r="259" ht="15" customHeight="1" s="22">
      <c r="G259" s="36">
        <f>IF(AND(ISNUMBER(C259),ISNUMBER(D259),ISNUMBER(E259)),ROUND(C259*D259*E259/6000,2),"")</f>
        <v/>
      </c>
    </row>
    <row r="260" ht="15" customHeight="1" s="22">
      <c r="G260" s="36">
        <f>IF(AND(ISNUMBER(C260),ISNUMBER(D260),ISNUMBER(E260)),ROUND(C260*D260*E260/6000,2),"")</f>
        <v/>
      </c>
    </row>
    <row r="261" ht="15" customHeight="1" s="22">
      <c r="G261" s="36">
        <f>IF(AND(ISNUMBER(C261),ISNUMBER(D261),ISNUMBER(E261)),ROUND(C261*D261*E261/6000,2),"")</f>
        <v/>
      </c>
    </row>
    <row r="262" ht="15" customHeight="1" s="22">
      <c r="G262" s="36">
        <f>IF(AND(ISNUMBER(C262),ISNUMBER(D262),ISNUMBER(E262)),ROUND(C262*D262*E262/6000,2),"")</f>
        <v/>
      </c>
    </row>
    <row r="263" ht="15" customHeight="1" s="22">
      <c r="G263" s="36">
        <f>IF(AND(ISNUMBER(C263),ISNUMBER(D263),ISNUMBER(E263)),ROUND(C263*D263*E263/6000,2),"")</f>
        <v/>
      </c>
    </row>
    <row r="264" ht="15" customHeight="1" s="22">
      <c r="G264" s="36">
        <f>IF(AND(ISNUMBER(C264),ISNUMBER(D264),ISNUMBER(E264)),ROUND(C264*D264*E264/6000,2),"")</f>
        <v/>
      </c>
    </row>
    <row r="265" ht="15" customHeight="1" s="22">
      <c r="G265" s="36">
        <f>IF(AND(ISNUMBER(C265),ISNUMBER(D265),ISNUMBER(E265)),ROUND(C265*D265*E265/6000,2),"")</f>
        <v/>
      </c>
    </row>
    <row r="266" ht="15" customHeight="1" s="22">
      <c r="G266" s="36">
        <f>IF(AND(ISNUMBER(C266),ISNUMBER(D266),ISNUMBER(E266)),ROUND(C266*D266*E266/6000,2),"")</f>
        <v/>
      </c>
    </row>
    <row r="267" ht="15" customHeight="1" s="22">
      <c r="G267" s="36">
        <f>IF(AND(ISNUMBER(C267),ISNUMBER(D267),ISNUMBER(E267)),ROUND(C267*D267*E267/6000,2),"")</f>
        <v/>
      </c>
    </row>
    <row r="268" ht="15" customHeight="1" s="22">
      <c r="G268" s="36">
        <f>IF(AND(ISNUMBER(C268),ISNUMBER(D268),ISNUMBER(E268)),ROUND(C268*D268*E268/6000,2),"")</f>
        <v/>
      </c>
    </row>
    <row r="269" ht="15" customHeight="1" s="22">
      <c r="G269" s="36">
        <f>IF(AND(ISNUMBER(C269),ISNUMBER(D269),ISNUMBER(E269)),ROUND(C269*D269*E269/6000,2),"")</f>
        <v/>
      </c>
    </row>
    <row r="270" ht="15" customHeight="1" s="22">
      <c r="G270" s="36">
        <f>IF(AND(ISNUMBER(C270),ISNUMBER(D270),ISNUMBER(E270)),ROUND(C270*D270*E270/6000,2),"")</f>
        <v/>
      </c>
    </row>
    <row r="271" ht="15" customHeight="1" s="22">
      <c r="G271" s="36">
        <f>IF(AND(ISNUMBER(C271),ISNUMBER(D271),ISNUMBER(E271)),ROUND(C271*D271*E271/6000,2),"")</f>
        <v/>
      </c>
    </row>
    <row r="272" ht="15" customHeight="1" s="22">
      <c r="G272" s="36">
        <f>IF(AND(ISNUMBER(C272),ISNUMBER(D272),ISNUMBER(E272)),ROUND(C272*D272*E272/6000,2),"")</f>
        <v/>
      </c>
    </row>
    <row r="273" ht="15" customHeight="1" s="22">
      <c r="G273" s="36">
        <f>IF(AND(ISNUMBER(C273),ISNUMBER(D273),ISNUMBER(E273)),ROUND(C273*D273*E273/6000,2),"")</f>
        <v/>
      </c>
    </row>
    <row r="274" ht="15" customHeight="1" s="22">
      <c r="G274" s="36">
        <f>IF(AND(ISNUMBER(C274),ISNUMBER(D274),ISNUMBER(E274)),ROUND(C274*D274*E274/6000,2),"")</f>
        <v/>
      </c>
    </row>
    <row r="275" ht="15" customHeight="1" s="22">
      <c r="G275" s="36">
        <f>IF(AND(ISNUMBER(C275),ISNUMBER(D275),ISNUMBER(E275)),ROUND(C275*D275*E275/6000,2),"")</f>
        <v/>
      </c>
    </row>
    <row r="276" ht="15" customHeight="1" s="22">
      <c r="G276" s="36">
        <f>IF(AND(ISNUMBER(C276),ISNUMBER(D276),ISNUMBER(E276)),ROUND(C276*D276*E276/6000,2),"")</f>
        <v/>
      </c>
    </row>
    <row r="277" ht="15" customHeight="1" s="22">
      <c r="G277" s="36">
        <f>IF(AND(ISNUMBER(C277),ISNUMBER(D277),ISNUMBER(E277)),ROUND(C277*D277*E277/6000,2),"")</f>
        <v/>
      </c>
    </row>
    <row r="278" ht="15" customHeight="1" s="22">
      <c r="G278" s="36">
        <f>IF(AND(ISNUMBER(C278),ISNUMBER(D278),ISNUMBER(E278)),ROUND(C278*D278*E278/6000,2),"")</f>
        <v/>
      </c>
    </row>
    <row r="279" ht="15" customHeight="1" s="22">
      <c r="G279" s="36">
        <f>IF(AND(ISNUMBER(C279),ISNUMBER(D279),ISNUMBER(E279)),ROUND(C279*D279*E279/6000,2),"")</f>
        <v/>
      </c>
    </row>
    <row r="280" ht="15" customHeight="1" s="22">
      <c r="G280" s="36">
        <f>IF(AND(ISNUMBER(C280),ISNUMBER(D280),ISNUMBER(E280)),ROUND(C280*D280*E280/6000,2),"")</f>
        <v/>
      </c>
    </row>
    <row r="281" ht="15" customHeight="1" s="22">
      <c r="G281" s="36">
        <f>IF(AND(ISNUMBER(C281),ISNUMBER(D281),ISNUMBER(E281)),ROUND(C281*D281*E281/6000,2),"")</f>
        <v/>
      </c>
    </row>
    <row r="282" ht="15" customHeight="1" s="22">
      <c r="G282" s="36">
        <f>IF(AND(ISNUMBER(C282),ISNUMBER(D282),ISNUMBER(E282)),ROUND(C282*D282*E282/6000,2),"")</f>
        <v/>
      </c>
    </row>
    <row r="283" ht="15" customHeight="1" s="22">
      <c r="G283" s="36">
        <f>IF(AND(ISNUMBER(C283),ISNUMBER(D283),ISNUMBER(E283)),ROUND(C283*D283*E283/6000,2),"")</f>
        <v/>
      </c>
    </row>
    <row r="284" ht="15" customHeight="1" s="22">
      <c r="G284" s="36">
        <f>IF(AND(ISNUMBER(C284),ISNUMBER(D284),ISNUMBER(E284)),ROUND(C284*D284*E284/6000,2),"")</f>
        <v/>
      </c>
    </row>
    <row r="285" ht="15" customHeight="1" s="22">
      <c r="G285" s="36">
        <f>IF(AND(ISNUMBER(C285),ISNUMBER(D285),ISNUMBER(E285)),ROUND(C285*D285*E285/6000,2),"")</f>
        <v/>
      </c>
    </row>
    <row r="286" ht="15" customHeight="1" s="22">
      <c r="G286" s="36">
        <f>IF(AND(ISNUMBER(C286),ISNUMBER(D286),ISNUMBER(E286)),ROUND(C286*D286*E286/6000,2),"")</f>
        <v/>
      </c>
    </row>
    <row r="287" ht="15" customHeight="1" s="22">
      <c r="G287" s="36">
        <f>IF(AND(ISNUMBER(C287),ISNUMBER(D287),ISNUMBER(E287)),ROUND(C287*D287*E287/6000,2),"")</f>
        <v/>
      </c>
    </row>
    <row r="288" ht="15" customHeight="1" s="22">
      <c r="G288" s="36">
        <f>IF(AND(ISNUMBER(C288),ISNUMBER(D288),ISNUMBER(E288)),ROUND(C288*D288*E288/6000,2),"")</f>
        <v/>
      </c>
    </row>
    <row r="289" ht="15" customHeight="1" s="22">
      <c r="G289" s="36">
        <f>IF(AND(ISNUMBER(C289),ISNUMBER(D289),ISNUMBER(E289)),ROUND(C289*D289*E289/6000,2),"")</f>
        <v/>
      </c>
    </row>
    <row r="290" ht="15" customHeight="1" s="22">
      <c r="G290" s="36">
        <f>IF(AND(ISNUMBER(C290),ISNUMBER(D290),ISNUMBER(E290)),ROUND(C290*D290*E290/6000,2),"")</f>
        <v/>
      </c>
    </row>
    <row r="291" ht="15" customHeight="1" s="22">
      <c r="G291" s="36">
        <f>IF(AND(ISNUMBER(C291),ISNUMBER(D291),ISNUMBER(E291)),ROUND(C291*D291*E291/6000,2),"")</f>
        <v/>
      </c>
    </row>
    <row r="292" ht="15" customHeight="1" s="22">
      <c r="G292" s="36">
        <f>IF(AND(ISNUMBER(C292),ISNUMBER(D292),ISNUMBER(E292)),ROUND(C292*D292*E292/6000,2),"")</f>
        <v/>
      </c>
    </row>
    <row r="293" ht="15" customHeight="1" s="22">
      <c r="G293" s="36">
        <f>IF(AND(ISNUMBER(C293),ISNUMBER(D293),ISNUMBER(E293)),ROUND(C293*D293*E293/6000,2),"")</f>
        <v/>
      </c>
    </row>
    <row r="294" ht="15" customHeight="1" s="22">
      <c r="G294" s="36">
        <f>IF(AND(ISNUMBER(C294),ISNUMBER(D294),ISNUMBER(E294)),ROUND(C294*D294*E294/6000,2),"")</f>
        <v/>
      </c>
    </row>
    <row r="295" ht="15" customHeight="1" s="22">
      <c r="G295" s="36">
        <f>IF(AND(ISNUMBER(C295),ISNUMBER(D295),ISNUMBER(E295)),ROUND(C295*D295*E295/6000,2),"")</f>
        <v/>
      </c>
    </row>
    <row r="296" ht="15" customHeight="1" s="22">
      <c r="G296" s="36">
        <f>IF(AND(ISNUMBER(C296),ISNUMBER(D296),ISNUMBER(E296)),ROUND(C296*D296*E296/6000,2),"")</f>
        <v/>
      </c>
    </row>
    <row r="297" ht="15" customHeight="1" s="22">
      <c r="G297" s="36">
        <f>IF(AND(ISNUMBER(C297),ISNUMBER(D297),ISNUMBER(E297)),ROUND(C297*D297*E297/6000,2),"")</f>
        <v/>
      </c>
    </row>
    <row r="298" ht="15" customHeight="1" s="22">
      <c r="G298" s="36">
        <f>IF(AND(ISNUMBER(C298),ISNUMBER(D298),ISNUMBER(E298)),ROUND(C298*D298*E298/6000,2),"")</f>
        <v/>
      </c>
    </row>
    <row r="299" ht="15" customHeight="1" s="22">
      <c r="G299" s="36">
        <f>IF(AND(ISNUMBER(C299),ISNUMBER(D299),ISNUMBER(E299)),ROUND(C299*D299*E299/6000,2),"")</f>
        <v/>
      </c>
    </row>
    <row r="300" ht="15" customHeight="1" s="22">
      <c r="G300" s="36">
        <f>IF(AND(ISNUMBER(C300),ISNUMBER(D300),ISNUMBER(E300)),ROUND(C300*D300*E300/6000,2),"")</f>
        <v/>
      </c>
    </row>
    <row r="301" ht="15" customHeight="1" s="22">
      <c r="G301" s="36">
        <f>IF(AND(ISNUMBER(C301),ISNUMBER(D301),ISNUMBER(E301)),ROUND(C301*D301*E301/6000,2),"")</f>
        <v/>
      </c>
    </row>
    <row r="302" ht="15" customHeight="1" s="22">
      <c r="G302" s="36">
        <f>IF(AND(ISNUMBER(C302),ISNUMBER(D302),ISNUMBER(E302)),ROUND(C302*D302*E302/6000,2),"")</f>
        <v/>
      </c>
    </row>
    <row r="303" ht="15" customHeight="1" s="22">
      <c r="G303" s="36">
        <f>IF(AND(ISNUMBER(C303),ISNUMBER(D303),ISNUMBER(E303)),ROUND(C303*D303*E303/6000,2),"")</f>
        <v/>
      </c>
    </row>
    <row r="304" ht="15" customHeight="1" s="22">
      <c r="G304" s="36">
        <f>IF(AND(ISNUMBER(C304),ISNUMBER(D304),ISNUMBER(E304)),ROUND(C304*D304*E304/6000,2),"")</f>
        <v/>
      </c>
    </row>
    <row r="305" ht="15" customHeight="1" s="22">
      <c r="G305" s="36">
        <f>IF(AND(ISNUMBER(C305),ISNUMBER(D305),ISNUMBER(E305)),ROUND(C305*D305*E305/6000,2),"")</f>
        <v/>
      </c>
    </row>
    <row r="306" ht="15" customHeight="1" s="22">
      <c r="G306" s="36">
        <f>IF(AND(ISNUMBER(C306),ISNUMBER(D306),ISNUMBER(E306)),ROUND(C306*D306*E306/6000,2),"")</f>
        <v/>
      </c>
    </row>
    <row r="307" ht="15" customHeight="1" s="22">
      <c r="G307" s="36">
        <f>IF(AND(ISNUMBER(C307),ISNUMBER(D307),ISNUMBER(E307)),ROUND(C307*D307*E307/6000,2),"")</f>
        <v/>
      </c>
    </row>
    <row r="308" ht="15" customHeight="1" s="22">
      <c r="G308" s="36">
        <f>IF(AND(ISNUMBER(C308),ISNUMBER(D308),ISNUMBER(E308)),ROUND(C308*D308*E308/6000,2),"")</f>
        <v/>
      </c>
    </row>
    <row r="309" ht="15" customHeight="1" s="22">
      <c r="G309" s="36">
        <f>IF(AND(ISNUMBER(C309),ISNUMBER(D309),ISNUMBER(E309)),ROUND(C309*D309*E309/6000,2),"")</f>
        <v/>
      </c>
    </row>
    <row r="310" ht="15" customHeight="1" s="22">
      <c r="G310" s="36">
        <f>IF(AND(ISNUMBER(C310),ISNUMBER(D310),ISNUMBER(E310)),ROUND(C310*D310*E310/6000,2),"")</f>
        <v/>
      </c>
    </row>
    <row r="311" ht="15" customHeight="1" s="22">
      <c r="G311" s="36">
        <f>IF(AND(ISNUMBER(C311),ISNUMBER(D311),ISNUMBER(E311)),ROUND(C311*D311*E311/6000,2),"")</f>
        <v/>
      </c>
    </row>
    <row r="312" ht="15" customHeight="1" s="22">
      <c r="G312" s="36">
        <f>IF(AND(ISNUMBER(C312),ISNUMBER(D312),ISNUMBER(E312)),ROUND(C312*D312*E312/6000,2),"")</f>
        <v/>
      </c>
    </row>
    <row r="313" ht="15" customHeight="1" s="22">
      <c r="G313" s="36">
        <f>IF(AND(ISNUMBER(C313),ISNUMBER(D313),ISNUMBER(E313)),ROUND(C313*D313*E313/6000,2),"")</f>
        <v/>
      </c>
    </row>
    <row r="314" ht="15" customHeight="1" s="22">
      <c r="G314" s="36">
        <f>IF(AND(ISNUMBER(C314),ISNUMBER(D314),ISNUMBER(E314)),ROUND(C314*D314*E314/6000,2),"")</f>
        <v/>
      </c>
    </row>
    <row r="315" ht="15" customHeight="1" s="22">
      <c r="G315" s="36">
        <f>IF(AND(ISNUMBER(C315),ISNUMBER(D315),ISNUMBER(E315)),ROUND(C315*D315*E315/6000,2),"")</f>
        <v/>
      </c>
    </row>
    <row r="316" ht="15" customHeight="1" s="22">
      <c r="G316" s="36">
        <f>IF(AND(ISNUMBER(C316),ISNUMBER(D316),ISNUMBER(E316)),ROUND(C316*D316*E316/6000,2),"")</f>
        <v/>
      </c>
    </row>
    <row r="317" ht="15" customHeight="1" s="22">
      <c r="G317" s="36">
        <f>IF(AND(ISNUMBER(C317),ISNUMBER(D317),ISNUMBER(E317)),ROUND(C317*D317*E317/6000,2),"")</f>
        <v/>
      </c>
    </row>
    <row r="318" ht="15" customHeight="1" s="22">
      <c r="G318" s="36">
        <f>IF(AND(ISNUMBER(C318),ISNUMBER(D318),ISNUMBER(E318)),ROUND(C318*D318*E318/6000,2),"")</f>
        <v/>
      </c>
    </row>
    <row r="319" ht="15" customHeight="1" s="22">
      <c r="G319" s="36">
        <f>IF(AND(ISNUMBER(C319),ISNUMBER(D319),ISNUMBER(E319)),ROUND(C319*D319*E319/6000,2),"")</f>
        <v/>
      </c>
    </row>
    <row r="320" ht="15" customHeight="1" s="22">
      <c r="G320" s="36">
        <f>IF(AND(ISNUMBER(C320),ISNUMBER(D320),ISNUMBER(E320)),ROUND(C320*D320*E320/6000,2),"")</f>
        <v/>
      </c>
    </row>
    <row r="321" ht="15" customHeight="1" s="22">
      <c r="G321" s="36">
        <f>IF(AND(ISNUMBER(C321),ISNUMBER(D321),ISNUMBER(E321)),ROUND(C321*D321*E321/6000,2),"")</f>
        <v/>
      </c>
    </row>
    <row r="322" ht="15" customHeight="1" s="22">
      <c r="G322" s="36">
        <f>IF(AND(ISNUMBER(C322),ISNUMBER(D322),ISNUMBER(E322)),ROUND(C322*D322*E322/6000,2),"")</f>
        <v/>
      </c>
    </row>
    <row r="323" ht="15" customHeight="1" s="22">
      <c r="G323" s="36">
        <f>IF(AND(ISNUMBER(C323),ISNUMBER(D323),ISNUMBER(E323)),ROUND(C323*D323*E323/6000,2),"")</f>
        <v/>
      </c>
    </row>
    <row r="324" ht="15" customHeight="1" s="22">
      <c r="G324" s="36">
        <f>IF(AND(ISNUMBER(C324),ISNUMBER(D324),ISNUMBER(E324)),ROUND(C324*D324*E324/6000,2),"")</f>
        <v/>
      </c>
    </row>
    <row r="325" ht="15" customHeight="1" s="22">
      <c r="G325" s="36">
        <f>IF(AND(ISNUMBER(C325),ISNUMBER(D325),ISNUMBER(E325)),ROUND(C325*D325*E325/6000,2),"")</f>
        <v/>
      </c>
    </row>
    <row r="326" ht="15" customHeight="1" s="22">
      <c r="G326" s="36">
        <f>IF(AND(ISNUMBER(C326),ISNUMBER(D326),ISNUMBER(E326)),ROUND(C326*D326*E326/6000,2),"")</f>
        <v/>
      </c>
    </row>
    <row r="327" ht="15" customHeight="1" s="22">
      <c r="G327" s="36">
        <f>IF(AND(ISNUMBER(C327),ISNUMBER(D327),ISNUMBER(E327)),ROUND(C327*D327*E327/6000,2),"")</f>
        <v/>
      </c>
    </row>
    <row r="328" ht="15" customHeight="1" s="22">
      <c r="G328" s="36">
        <f>IF(AND(ISNUMBER(C328),ISNUMBER(D328),ISNUMBER(E328)),ROUND(C328*D328*E328/6000,2),"")</f>
        <v/>
      </c>
    </row>
    <row r="329" ht="15" customHeight="1" s="22">
      <c r="G329" s="36">
        <f>IF(AND(ISNUMBER(C329),ISNUMBER(D329),ISNUMBER(E329)),ROUND(C329*D329*E329/6000,2),"")</f>
        <v/>
      </c>
    </row>
    <row r="330" ht="15" customHeight="1" s="22">
      <c r="G330" s="36">
        <f>IF(AND(ISNUMBER(C330),ISNUMBER(D330),ISNUMBER(E330)),ROUND(C330*D330*E330/6000,2),"")</f>
        <v/>
      </c>
    </row>
    <row r="331" ht="15" customHeight="1" s="22">
      <c r="G331" s="36">
        <f>IF(AND(ISNUMBER(C331),ISNUMBER(D331),ISNUMBER(E331)),ROUND(C331*D331*E331/6000,2),"")</f>
        <v/>
      </c>
    </row>
    <row r="332" ht="15" customHeight="1" s="22">
      <c r="G332" s="36">
        <f>IF(AND(ISNUMBER(C332),ISNUMBER(D332),ISNUMBER(E332)),ROUND(C332*D332*E332/6000,2),"")</f>
        <v/>
      </c>
    </row>
    <row r="333" ht="15" customHeight="1" s="22">
      <c r="G333" s="36">
        <f>IF(AND(ISNUMBER(C333),ISNUMBER(D333),ISNUMBER(E333)),ROUND(C333*D333*E333/6000,2),"")</f>
        <v/>
      </c>
    </row>
    <row r="334" ht="15" customHeight="1" s="22">
      <c r="G334" s="36">
        <f>IF(AND(ISNUMBER(C334),ISNUMBER(D334),ISNUMBER(E334)),ROUND(C334*D334*E334/6000,2),"")</f>
        <v/>
      </c>
    </row>
    <row r="335" ht="15" customHeight="1" s="22">
      <c r="G335" s="36">
        <f>IF(AND(ISNUMBER(C335),ISNUMBER(D335),ISNUMBER(E335)),ROUND(C335*D335*E335/6000,2),"")</f>
        <v/>
      </c>
    </row>
    <row r="336" ht="15" customHeight="1" s="22">
      <c r="G336" s="36">
        <f>IF(AND(ISNUMBER(C336),ISNUMBER(D336),ISNUMBER(E336)),ROUND(C336*D336*E336/6000,2),"")</f>
        <v/>
      </c>
    </row>
    <row r="337" ht="15" customHeight="1" s="22">
      <c r="G337" s="36">
        <f>IF(AND(ISNUMBER(C337),ISNUMBER(D337),ISNUMBER(E337)),ROUND(C337*D337*E337/6000,2),"")</f>
        <v/>
      </c>
    </row>
    <row r="338" ht="15" customHeight="1" s="22">
      <c r="G338" s="36">
        <f>IF(AND(ISNUMBER(C338),ISNUMBER(D338),ISNUMBER(E338)),ROUND(C338*D338*E338/6000,2),"")</f>
        <v/>
      </c>
    </row>
    <row r="339" ht="15" customHeight="1" s="22">
      <c r="G339" s="36">
        <f>IF(AND(ISNUMBER(C339),ISNUMBER(D339),ISNUMBER(E339)),ROUND(C339*D339*E339/6000,2),"")</f>
        <v/>
      </c>
    </row>
    <row r="340" ht="15" customHeight="1" s="22">
      <c r="G340" s="36">
        <f>IF(AND(ISNUMBER(C340),ISNUMBER(D340),ISNUMBER(E340)),ROUND(C340*D340*E340/6000,2),"")</f>
        <v/>
      </c>
    </row>
    <row r="341" ht="15" customHeight="1" s="22">
      <c r="G341" s="36">
        <f>IF(AND(ISNUMBER(C341),ISNUMBER(D341),ISNUMBER(E341)),ROUND(C341*D341*E341/6000,2),"")</f>
        <v/>
      </c>
    </row>
    <row r="342" ht="15" customHeight="1" s="22">
      <c r="G342" s="36">
        <f>IF(AND(ISNUMBER(C342),ISNUMBER(D342),ISNUMBER(E342)),ROUND(C342*D342*E342/6000,2),"")</f>
        <v/>
      </c>
    </row>
    <row r="343" ht="15" customHeight="1" s="22">
      <c r="G343" s="36">
        <f>IF(AND(ISNUMBER(C343),ISNUMBER(D343),ISNUMBER(E343)),ROUND(C343*D343*E343/6000,2),"")</f>
        <v/>
      </c>
    </row>
    <row r="344" ht="15" customHeight="1" s="22">
      <c r="G344" s="36">
        <f>IF(AND(ISNUMBER(C344),ISNUMBER(D344),ISNUMBER(E344)),ROUND(C344*D344*E344/6000,2),"")</f>
        <v/>
      </c>
    </row>
    <row r="345" ht="15" customHeight="1" s="22">
      <c r="G345" s="36">
        <f>IF(AND(ISNUMBER(C345),ISNUMBER(D345),ISNUMBER(E345)),ROUND(C345*D345*E345/6000,2),"")</f>
        <v/>
      </c>
    </row>
    <row r="346" ht="15" customHeight="1" s="22">
      <c r="G346" s="36">
        <f>IF(AND(ISNUMBER(C346),ISNUMBER(D346),ISNUMBER(E346)),ROUND(C346*D346*E346/6000,2),"")</f>
        <v/>
      </c>
    </row>
    <row r="347" ht="15" customHeight="1" s="22">
      <c r="G347" s="36">
        <f>IF(AND(ISNUMBER(C347),ISNUMBER(D347),ISNUMBER(E347)),ROUND(C347*D347*E347/6000,2),"")</f>
        <v/>
      </c>
    </row>
    <row r="348" ht="15" customHeight="1" s="22">
      <c r="G348" s="36">
        <f>IF(AND(ISNUMBER(C348),ISNUMBER(D348),ISNUMBER(E348)),ROUND(C348*D348*E348/6000,2),"")</f>
        <v/>
      </c>
    </row>
    <row r="349" ht="15" customHeight="1" s="22">
      <c r="G349" s="36">
        <f>IF(AND(ISNUMBER(C349),ISNUMBER(D349),ISNUMBER(E349)),ROUND(C349*D349*E349/6000,2),"")</f>
        <v/>
      </c>
    </row>
    <row r="350" ht="15" customHeight="1" s="22">
      <c r="G350" s="36">
        <f>IF(AND(ISNUMBER(C350),ISNUMBER(D350),ISNUMBER(E350)),ROUND(C350*D350*E350/6000,2),"")</f>
        <v/>
      </c>
    </row>
    <row r="351" ht="15" customHeight="1" s="22">
      <c r="G351" s="36">
        <f>IF(AND(ISNUMBER(C351),ISNUMBER(D351),ISNUMBER(E351)),ROUND(C351*D351*E351/6000,2),"")</f>
        <v/>
      </c>
    </row>
    <row r="352" ht="15" customHeight="1" s="22">
      <c r="G352" s="36">
        <f>IF(AND(ISNUMBER(C352),ISNUMBER(D352),ISNUMBER(E352)),ROUND(C352*D352*E352/6000,2),"")</f>
        <v/>
      </c>
    </row>
    <row r="353" ht="15" customHeight="1" s="22">
      <c r="G353" s="36">
        <f>IF(AND(ISNUMBER(C353),ISNUMBER(D353),ISNUMBER(E353)),ROUND(C353*D353*E353/6000,2),"")</f>
        <v/>
      </c>
    </row>
    <row r="354" ht="15" customHeight="1" s="22">
      <c r="G354" s="36">
        <f>IF(AND(ISNUMBER(C354),ISNUMBER(D354),ISNUMBER(E354)),ROUND(C354*D354*E354/6000,2),"")</f>
        <v/>
      </c>
    </row>
    <row r="355" ht="15" customHeight="1" s="22">
      <c r="G355" s="36">
        <f>IF(AND(ISNUMBER(C355),ISNUMBER(D355),ISNUMBER(E355)),ROUND(C355*D355*E355/6000,2),"")</f>
        <v/>
      </c>
    </row>
    <row r="356" ht="15" customHeight="1" s="22">
      <c r="G356" s="36">
        <f>IF(AND(ISNUMBER(C356),ISNUMBER(D356),ISNUMBER(E356)),ROUND(C356*D356*E356/6000,2),"")</f>
        <v/>
      </c>
    </row>
    <row r="357" ht="15" customHeight="1" s="22">
      <c r="G357" s="36">
        <f>IF(AND(ISNUMBER(C357),ISNUMBER(D357),ISNUMBER(E357)),ROUND(C357*D357*E357/6000,2),"")</f>
        <v/>
      </c>
    </row>
    <row r="358" ht="15" customHeight="1" s="22">
      <c r="G358" s="36">
        <f>IF(AND(ISNUMBER(C358),ISNUMBER(D358),ISNUMBER(E358)),ROUND(C358*D358*E358/6000,2),"")</f>
        <v/>
      </c>
    </row>
    <row r="359" ht="15" customHeight="1" s="22">
      <c r="G359" s="36">
        <f>IF(AND(ISNUMBER(C359),ISNUMBER(D359),ISNUMBER(E359)),ROUND(C359*D359*E359/6000,2),"")</f>
        <v/>
      </c>
    </row>
    <row r="360" ht="15" customHeight="1" s="22">
      <c r="G360" s="36">
        <f>IF(AND(ISNUMBER(C360),ISNUMBER(D360),ISNUMBER(E360)),ROUND(C360*D360*E360/6000,2),"")</f>
        <v/>
      </c>
    </row>
    <row r="361" ht="15" customHeight="1" s="22">
      <c r="G361" s="36">
        <f>IF(AND(ISNUMBER(C361),ISNUMBER(D361),ISNUMBER(E361)),ROUND(C361*D361*E361/6000,2),"")</f>
        <v/>
      </c>
    </row>
    <row r="362" ht="15" customHeight="1" s="22">
      <c r="G362" s="36">
        <f>IF(AND(ISNUMBER(C362),ISNUMBER(D362),ISNUMBER(E362)),ROUND(C362*D362*E362/6000,2),"")</f>
        <v/>
      </c>
    </row>
    <row r="363" ht="15" customHeight="1" s="22">
      <c r="G363" s="36">
        <f>IF(AND(ISNUMBER(C363),ISNUMBER(D363),ISNUMBER(E363)),ROUND(C363*D363*E363/6000,2),"")</f>
        <v/>
      </c>
    </row>
    <row r="364" ht="15" customHeight="1" s="22">
      <c r="G364" s="36">
        <f>IF(AND(ISNUMBER(C364),ISNUMBER(D364),ISNUMBER(E364)),ROUND(C364*D364*E364/6000,2),"")</f>
        <v/>
      </c>
    </row>
    <row r="365" ht="15" customHeight="1" s="22">
      <c r="G365" s="36">
        <f>IF(AND(ISNUMBER(C365),ISNUMBER(D365),ISNUMBER(E365)),ROUND(C365*D365*E365/6000,2),"")</f>
        <v/>
      </c>
    </row>
    <row r="366" ht="15" customHeight="1" s="22">
      <c r="G366" s="36">
        <f>IF(AND(ISNUMBER(C366),ISNUMBER(D366),ISNUMBER(E366)),ROUND(C366*D366*E366/6000,2),"")</f>
        <v/>
      </c>
    </row>
    <row r="367" ht="15" customHeight="1" s="22">
      <c r="G367" s="36">
        <f>IF(AND(ISNUMBER(C367),ISNUMBER(D367),ISNUMBER(E367)),ROUND(C367*D367*E367/6000,2),"")</f>
        <v/>
      </c>
    </row>
    <row r="368" ht="15" customHeight="1" s="22">
      <c r="G368" s="36">
        <f>IF(AND(ISNUMBER(C368),ISNUMBER(D368),ISNUMBER(E368)),ROUND(C368*D368*E368/6000,2),"")</f>
        <v/>
      </c>
    </row>
    <row r="369" ht="15" customHeight="1" s="22">
      <c r="G369" s="36">
        <f>IF(AND(ISNUMBER(C369),ISNUMBER(D369),ISNUMBER(E369)),ROUND(C369*D369*E369/6000,2),"")</f>
        <v/>
      </c>
    </row>
    <row r="370" ht="15" customHeight="1" s="22">
      <c r="G370" s="36">
        <f>IF(AND(ISNUMBER(C370),ISNUMBER(D370),ISNUMBER(E370)),ROUND(C370*D370*E370/6000,2),"")</f>
        <v/>
      </c>
    </row>
    <row r="371" ht="15" customHeight="1" s="22">
      <c r="G371" s="36">
        <f>IF(AND(ISNUMBER(C371),ISNUMBER(D371),ISNUMBER(E371)),ROUND(C371*D371*E371/6000,2),"")</f>
        <v/>
      </c>
    </row>
    <row r="372" ht="15" customHeight="1" s="22">
      <c r="G372" s="36">
        <f>IF(AND(ISNUMBER(C372),ISNUMBER(D372),ISNUMBER(E372)),ROUND(C372*D372*E372/6000,2),"")</f>
        <v/>
      </c>
    </row>
    <row r="373" ht="15" customHeight="1" s="22">
      <c r="G373" s="36">
        <f>IF(AND(ISNUMBER(C373),ISNUMBER(D373),ISNUMBER(E373)),ROUND(C373*D373*E373/6000,2),"")</f>
        <v/>
      </c>
    </row>
    <row r="374" ht="15" customHeight="1" s="22">
      <c r="G374" s="36">
        <f>IF(AND(ISNUMBER(C374),ISNUMBER(D374),ISNUMBER(E374)),ROUND(C374*D374*E374/6000,2),"")</f>
        <v/>
      </c>
    </row>
    <row r="375" ht="15" customHeight="1" s="22">
      <c r="G375" s="36">
        <f>IF(AND(ISNUMBER(C375),ISNUMBER(D375),ISNUMBER(E375)),ROUND(C375*D375*E375/6000,2),"")</f>
        <v/>
      </c>
    </row>
    <row r="376" ht="15" customHeight="1" s="22">
      <c r="G376" s="36">
        <f>IF(AND(ISNUMBER(C376),ISNUMBER(D376),ISNUMBER(E376)),ROUND(C376*D376*E376/6000,2),"")</f>
        <v/>
      </c>
    </row>
    <row r="377" ht="15" customHeight="1" s="22">
      <c r="G377" s="36">
        <f>IF(AND(ISNUMBER(C377),ISNUMBER(D377),ISNUMBER(E377)),ROUND(C377*D377*E377/6000,2),"")</f>
        <v/>
      </c>
    </row>
    <row r="378" ht="15" customHeight="1" s="22">
      <c r="G378" s="36">
        <f>IF(AND(ISNUMBER(C378),ISNUMBER(D378),ISNUMBER(E378)),ROUND(C378*D378*E378/6000,2),"")</f>
        <v/>
      </c>
    </row>
    <row r="379" ht="15" customHeight="1" s="22">
      <c r="G379" s="36">
        <f>IF(AND(ISNUMBER(C379),ISNUMBER(D379),ISNUMBER(E379)),ROUND(C379*D379*E379/6000,2),"")</f>
        <v/>
      </c>
    </row>
    <row r="380" ht="15" customHeight="1" s="22">
      <c r="G380" s="36">
        <f>IF(AND(ISNUMBER(C380),ISNUMBER(D380),ISNUMBER(E380)),ROUND(C380*D380*E380/6000,2),"")</f>
        <v/>
      </c>
    </row>
    <row r="381" ht="15" customHeight="1" s="22">
      <c r="G381" s="36">
        <f>IF(AND(ISNUMBER(C381),ISNUMBER(D381),ISNUMBER(E381)),ROUND(C381*D381*E381/6000,2),"")</f>
        <v/>
      </c>
    </row>
    <row r="382" ht="15" customHeight="1" s="22">
      <c r="G382" s="36">
        <f>IF(AND(ISNUMBER(C382),ISNUMBER(D382),ISNUMBER(E382)),ROUND(C382*D382*E382/6000,2),"")</f>
        <v/>
      </c>
    </row>
    <row r="383" ht="15" customHeight="1" s="22">
      <c r="G383" s="36">
        <f>IF(AND(ISNUMBER(C383),ISNUMBER(D383),ISNUMBER(E383)),ROUND(C383*D383*E383/6000,2),"")</f>
        <v/>
      </c>
    </row>
    <row r="384" ht="15" customHeight="1" s="22">
      <c r="G384" s="36">
        <f>IF(AND(ISNUMBER(C384),ISNUMBER(D384),ISNUMBER(E384)),ROUND(C384*D384*E384/6000,2),"")</f>
        <v/>
      </c>
    </row>
    <row r="385" ht="15" customHeight="1" s="22">
      <c r="G385" s="36">
        <f>IF(AND(ISNUMBER(C385),ISNUMBER(D385),ISNUMBER(E385)),ROUND(C385*D385*E385/6000,2),"")</f>
        <v/>
      </c>
    </row>
    <row r="386" ht="15" customHeight="1" s="22">
      <c r="G386" s="36">
        <f>IF(AND(ISNUMBER(C386),ISNUMBER(D386),ISNUMBER(E386)),ROUND(C386*D386*E386/6000,2),"")</f>
        <v/>
      </c>
    </row>
    <row r="387" ht="15" customHeight="1" s="22">
      <c r="G387" s="36">
        <f>IF(AND(ISNUMBER(C387),ISNUMBER(D387),ISNUMBER(E387)),ROUND(C387*D387*E387/6000,2),"")</f>
        <v/>
      </c>
    </row>
    <row r="388" ht="15" customHeight="1" s="22">
      <c r="G388" s="36">
        <f>IF(AND(ISNUMBER(C388),ISNUMBER(D388),ISNUMBER(E388)),ROUND(C388*D388*E388/6000,2),"")</f>
        <v/>
      </c>
    </row>
    <row r="389" ht="15" customHeight="1" s="22">
      <c r="G389" s="36">
        <f>IF(AND(ISNUMBER(C389),ISNUMBER(D389),ISNUMBER(E389)),ROUND(C389*D389*E389/6000,2),"")</f>
        <v/>
      </c>
    </row>
    <row r="390" ht="15" customHeight="1" s="22">
      <c r="G390" s="36">
        <f>IF(AND(ISNUMBER(C390),ISNUMBER(D390),ISNUMBER(E390)),ROUND(C390*D390*E390/6000,2),"")</f>
        <v/>
      </c>
    </row>
    <row r="391" ht="15" customHeight="1" s="22">
      <c r="G391" s="36">
        <f>IF(AND(ISNUMBER(C391),ISNUMBER(D391),ISNUMBER(E391)),ROUND(C391*D391*E391/6000,2),"")</f>
        <v/>
      </c>
    </row>
    <row r="392" ht="15" customHeight="1" s="22">
      <c r="G392" s="36">
        <f>IF(AND(ISNUMBER(C392),ISNUMBER(D392),ISNUMBER(E392)),ROUND(C392*D392*E392/6000,2),"")</f>
        <v/>
      </c>
    </row>
    <row r="393" ht="15" customHeight="1" s="22">
      <c r="G393" s="36">
        <f>IF(AND(ISNUMBER(C393),ISNUMBER(D393),ISNUMBER(E393)),ROUND(C393*D393*E393/6000,2),"")</f>
        <v/>
      </c>
    </row>
    <row r="394" ht="15" customHeight="1" s="22">
      <c r="G394" s="36">
        <f>IF(AND(ISNUMBER(C394),ISNUMBER(D394),ISNUMBER(E394)),ROUND(C394*D394*E394/6000,2),"")</f>
        <v/>
      </c>
    </row>
    <row r="395" ht="15" customHeight="1" s="22">
      <c r="G395" s="36">
        <f>IF(AND(ISNUMBER(C395),ISNUMBER(D395),ISNUMBER(E395)),ROUND(C395*D395*E395/6000,2),"")</f>
        <v/>
      </c>
    </row>
    <row r="396" ht="15" customHeight="1" s="22">
      <c r="G396" s="36">
        <f>IF(AND(ISNUMBER(C396),ISNUMBER(D396),ISNUMBER(E396)),ROUND(C396*D396*E396/6000,2),"")</f>
        <v/>
      </c>
    </row>
    <row r="397" ht="15" customHeight="1" s="22">
      <c r="G397" s="36">
        <f>IF(AND(ISNUMBER(C397),ISNUMBER(D397),ISNUMBER(E397)),ROUND(C397*D397*E397/6000,2),"")</f>
        <v/>
      </c>
    </row>
    <row r="398" ht="15" customHeight="1" s="22">
      <c r="G398" s="36">
        <f>IF(AND(ISNUMBER(C398),ISNUMBER(D398),ISNUMBER(E398)),ROUND(C398*D398*E398/6000,2),"")</f>
        <v/>
      </c>
    </row>
    <row r="399" ht="15" customHeight="1" s="22">
      <c r="G399" s="36">
        <f>IF(AND(ISNUMBER(C399),ISNUMBER(D399),ISNUMBER(E399)),ROUND(C399*D399*E399/6000,2),"")</f>
        <v/>
      </c>
    </row>
    <row r="400" ht="15" customHeight="1" s="22">
      <c r="G400" s="36">
        <f>IF(AND(ISNUMBER(C400),ISNUMBER(D400),ISNUMBER(E400)),ROUND(C400*D400*E400/6000,2),"")</f>
        <v/>
      </c>
    </row>
    <row r="401" ht="15" customHeight="1" s="22">
      <c r="G401" s="36">
        <f>IF(AND(ISNUMBER(C401),ISNUMBER(D401),ISNUMBER(E401)),ROUND(C401*D401*E401/6000,2),"")</f>
        <v/>
      </c>
    </row>
    <row r="402" ht="15" customHeight="1" s="22">
      <c r="G402" s="36">
        <f>IF(AND(ISNUMBER(C402),ISNUMBER(D402),ISNUMBER(E402)),ROUND(C402*D402*E402/6000,2),"")</f>
        <v/>
      </c>
    </row>
    <row r="403" ht="15" customHeight="1" s="22">
      <c r="G403" s="36">
        <f>IF(AND(ISNUMBER(C403),ISNUMBER(D403),ISNUMBER(E403)),ROUND(C403*D403*E403/6000,2),"")</f>
        <v/>
      </c>
    </row>
    <row r="404" ht="15" customHeight="1" s="22">
      <c r="G404" s="36">
        <f>IF(AND(ISNUMBER(C404),ISNUMBER(D404),ISNUMBER(E404)),ROUND(C404*D404*E404/6000,2),"")</f>
        <v/>
      </c>
    </row>
    <row r="405" ht="15" customHeight="1" s="22">
      <c r="G405" s="36">
        <f>IF(AND(ISNUMBER(C405),ISNUMBER(D405),ISNUMBER(E405)),ROUND(C405*D405*E405/6000,2),"")</f>
        <v/>
      </c>
    </row>
    <row r="406" ht="15" customHeight="1" s="22">
      <c r="G406" s="36">
        <f>IF(AND(ISNUMBER(C406),ISNUMBER(D406),ISNUMBER(E406)),ROUND(C406*D406*E406/6000,2),"")</f>
        <v/>
      </c>
    </row>
    <row r="407" ht="15" customHeight="1" s="22">
      <c r="G407" s="36">
        <f>IF(AND(ISNUMBER(C407),ISNUMBER(D407),ISNUMBER(E407)),ROUND(C407*D407*E407/6000,2),"")</f>
        <v/>
      </c>
    </row>
    <row r="408" ht="15" customHeight="1" s="22">
      <c r="G408" s="36">
        <f>IF(AND(ISNUMBER(C408),ISNUMBER(D408),ISNUMBER(E408)),ROUND(C408*D408*E408/6000,2),"")</f>
        <v/>
      </c>
    </row>
    <row r="409" ht="15" customHeight="1" s="22">
      <c r="G409" s="36">
        <f>IF(AND(ISNUMBER(C409),ISNUMBER(D409),ISNUMBER(E409)),ROUND(C409*D409*E409/6000,2),"")</f>
        <v/>
      </c>
    </row>
    <row r="410" ht="15" customHeight="1" s="22">
      <c r="G410" s="36">
        <f>IF(AND(ISNUMBER(C410),ISNUMBER(D410),ISNUMBER(E410)),ROUND(C410*D410*E410/6000,2),"")</f>
        <v/>
      </c>
    </row>
    <row r="411" ht="15" customHeight="1" s="22">
      <c r="G411" s="36">
        <f>IF(AND(ISNUMBER(C411),ISNUMBER(D411),ISNUMBER(E411)),ROUND(C411*D411*E411/6000,2),"")</f>
        <v/>
      </c>
    </row>
    <row r="412" ht="15" customHeight="1" s="22">
      <c r="G412" s="36">
        <f>IF(AND(ISNUMBER(C412),ISNUMBER(D412),ISNUMBER(E412)),ROUND(C412*D412*E412/6000,2),"")</f>
        <v/>
      </c>
    </row>
    <row r="413" ht="15" customHeight="1" s="22">
      <c r="G413" s="36">
        <f>IF(AND(ISNUMBER(C413),ISNUMBER(D413),ISNUMBER(E413)),ROUND(C413*D413*E413/6000,2),"")</f>
        <v/>
      </c>
    </row>
    <row r="414" ht="15" customHeight="1" s="22">
      <c r="G414" s="36">
        <f>IF(AND(ISNUMBER(C414),ISNUMBER(D414),ISNUMBER(E414)),ROUND(C414*D414*E414/6000,2),"")</f>
        <v/>
      </c>
    </row>
    <row r="415" ht="15" customHeight="1" s="22">
      <c r="G415" s="36">
        <f>IF(AND(ISNUMBER(C415),ISNUMBER(D415),ISNUMBER(E415)),ROUND(C415*D415*E415/6000,2),"")</f>
        <v/>
      </c>
    </row>
    <row r="416" ht="15" customHeight="1" s="22">
      <c r="G416" s="36">
        <f>IF(AND(ISNUMBER(C416),ISNUMBER(D416),ISNUMBER(E416)),ROUND(C416*D416*E416/6000,2),"")</f>
        <v/>
      </c>
    </row>
    <row r="417" ht="15" customHeight="1" s="22">
      <c r="G417" s="36">
        <f>IF(AND(ISNUMBER(C417),ISNUMBER(D417),ISNUMBER(E417)),ROUND(C417*D417*E417/6000,2),"")</f>
        <v/>
      </c>
    </row>
    <row r="418" ht="15" customHeight="1" s="22">
      <c r="G418" s="36">
        <f>IF(AND(ISNUMBER(C418),ISNUMBER(D418),ISNUMBER(E418)),ROUND(C418*D418*E418/6000,2),"")</f>
        <v/>
      </c>
    </row>
    <row r="419" ht="15" customHeight="1" s="22">
      <c r="G419" s="36">
        <f>IF(AND(ISNUMBER(C419),ISNUMBER(D419),ISNUMBER(E419)),ROUND(C419*D419*E419/6000,2),"")</f>
        <v/>
      </c>
    </row>
    <row r="420" ht="15" customHeight="1" s="22">
      <c r="G420" s="36">
        <f>IF(AND(ISNUMBER(C420),ISNUMBER(D420),ISNUMBER(E420)),ROUND(C420*D420*E420/6000,2),"")</f>
        <v/>
      </c>
    </row>
    <row r="421" ht="15" customHeight="1" s="22">
      <c r="G421" s="36">
        <f>IF(AND(ISNUMBER(C421),ISNUMBER(D421),ISNUMBER(E421)),ROUND(C421*D421*E421/6000,2),"")</f>
        <v/>
      </c>
    </row>
    <row r="422" ht="15" customHeight="1" s="22">
      <c r="G422" s="36">
        <f>IF(AND(ISNUMBER(C422),ISNUMBER(D422),ISNUMBER(E422)),ROUND(C422*D422*E422/6000,2),"")</f>
        <v/>
      </c>
    </row>
    <row r="423" ht="15" customHeight="1" s="22">
      <c r="G423" s="36">
        <f>IF(AND(ISNUMBER(C423),ISNUMBER(D423),ISNUMBER(E423)),ROUND(C423*D423*E423/6000,2),"")</f>
        <v/>
      </c>
    </row>
    <row r="424" ht="15" customHeight="1" s="22">
      <c r="G424" s="36">
        <f>IF(AND(ISNUMBER(C424),ISNUMBER(D424),ISNUMBER(E424)),ROUND(C424*D424*E424/6000,2),"")</f>
        <v/>
      </c>
    </row>
    <row r="425" ht="15" customHeight="1" s="22">
      <c r="G425" s="36">
        <f>IF(AND(ISNUMBER(C425),ISNUMBER(D425),ISNUMBER(E425)),ROUND(C425*D425*E425/6000,2),"")</f>
        <v/>
      </c>
    </row>
    <row r="426" ht="15" customHeight="1" s="22">
      <c r="G426" s="36">
        <f>IF(AND(ISNUMBER(C426),ISNUMBER(D426),ISNUMBER(E426)),ROUND(C426*D426*E426/6000,2),"")</f>
        <v/>
      </c>
    </row>
    <row r="427" ht="15" customHeight="1" s="22">
      <c r="G427" s="36">
        <f>IF(AND(ISNUMBER(C427),ISNUMBER(D427),ISNUMBER(E427)),ROUND(C427*D427*E427/6000,2),"")</f>
        <v/>
      </c>
    </row>
    <row r="428" ht="15" customHeight="1" s="22">
      <c r="G428" s="36">
        <f>IF(AND(ISNUMBER(C428),ISNUMBER(D428),ISNUMBER(E428)),ROUND(C428*D428*E428/6000,2),"")</f>
        <v/>
      </c>
    </row>
    <row r="429" ht="15" customHeight="1" s="22">
      <c r="G429" s="36">
        <f>IF(AND(ISNUMBER(C429),ISNUMBER(D429),ISNUMBER(E429)),ROUND(C429*D429*E429/6000,2),"")</f>
        <v/>
      </c>
    </row>
    <row r="430" ht="15" customHeight="1" s="22">
      <c r="G430" s="36">
        <f>IF(AND(ISNUMBER(C430),ISNUMBER(D430),ISNUMBER(E430)),ROUND(C430*D430*E430/6000,2),"")</f>
        <v/>
      </c>
    </row>
    <row r="431" ht="15" customHeight="1" s="22">
      <c r="G431" s="36">
        <f>IF(AND(ISNUMBER(C431),ISNUMBER(D431),ISNUMBER(E431)),ROUND(C431*D431*E431/6000,2),"")</f>
        <v/>
      </c>
    </row>
    <row r="432" ht="15" customHeight="1" s="22">
      <c r="G432" s="36">
        <f>IF(AND(ISNUMBER(C432),ISNUMBER(D432),ISNUMBER(E432)),ROUND(C432*D432*E432/6000,2),"")</f>
        <v/>
      </c>
    </row>
    <row r="433" ht="15" customHeight="1" s="22">
      <c r="G433" s="36">
        <f>IF(AND(ISNUMBER(C433),ISNUMBER(D433),ISNUMBER(E433)),ROUND(C433*D433*E433/6000,2),"")</f>
        <v/>
      </c>
    </row>
    <row r="434" ht="15" customHeight="1" s="22">
      <c r="G434" s="36">
        <f>IF(AND(ISNUMBER(C434),ISNUMBER(D434),ISNUMBER(E434)),ROUND(C434*D434*E434/6000,2),"")</f>
        <v/>
      </c>
    </row>
    <row r="435" ht="15" customHeight="1" s="22">
      <c r="G435" s="36">
        <f>IF(AND(ISNUMBER(C435),ISNUMBER(D435),ISNUMBER(E435)),ROUND(C435*D435*E435/6000,2),"")</f>
        <v/>
      </c>
    </row>
    <row r="436" ht="15" customHeight="1" s="22">
      <c r="G436" s="36">
        <f>IF(AND(ISNUMBER(C436),ISNUMBER(D436),ISNUMBER(E436)),ROUND(C436*D436*E436/6000,2),"")</f>
        <v/>
      </c>
    </row>
    <row r="437" ht="15" customHeight="1" s="22">
      <c r="G437" s="36">
        <f>IF(AND(ISNUMBER(C437),ISNUMBER(D437),ISNUMBER(E437)),ROUND(C437*D437*E437/6000,2),"")</f>
        <v/>
      </c>
    </row>
    <row r="438" ht="15" customHeight="1" s="22">
      <c r="G438" s="36">
        <f>IF(AND(ISNUMBER(C438),ISNUMBER(D438),ISNUMBER(E438)),ROUND(C438*D438*E438/6000,2),"")</f>
        <v/>
      </c>
    </row>
    <row r="439" ht="15" customHeight="1" s="22">
      <c r="G439" s="36">
        <f>IF(AND(ISNUMBER(C439),ISNUMBER(D439),ISNUMBER(E439)),ROUND(C439*D439*E439/6000,2),"")</f>
        <v/>
      </c>
    </row>
    <row r="440" ht="15" customHeight="1" s="22">
      <c r="G440" s="36">
        <f>IF(AND(ISNUMBER(C440),ISNUMBER(D440),ISNUMBER(E440)),ROUND(C440*D440*E440/6000,2),"")</f>
        <v/>
      </c>
    </row>
    <row r="441" ht="15" customHeight="1" s="22">
      <c r="G441" s="36">
        <f>IF(AND(ISNUMBER(C441),ISNUMBER(D441),ISNUMBER(E441)),ROUND(C441*D441*E441/6000,2),"")</f>
        <v/>
      </c>
    </row>
    <row r="442" ht="15" customHeight="1" s="22">
      <c r="G442" s="36">
        <f>IF(AND(ISNUMBER(C442),ISNUMBER(D442),ISNUMBER(E442)),ROUND(C442*D442*E442/6000,2),"")</f>
        <v/>
      </c>
    </row>
    <row r="443" ht="15" customHeight="1" s="22">
      <c r="G443" s="36">
        <f>IF(AND(ISNUMBER(C443),ISNUMBER(D443),ISNUMBER(E443)),ROUND(C443*D443*E443/6000,2),"")</f>
        <v/>
      </c>
    </row>
    <row r="444" ht="15" customHeight="1" s="22">
      <c r="G444" s="36">
        <f>IF(AND(ISNUMBER(C444),ISNUMBER(D444),ISNUMBER(E444)),ROUND(C444*D444*E444/6000,2),"")</f>
        <v/>
      </c>
    </row>
    <row r="445" ht="15" customHeight="1" s="22">
      <c r="G445" s="36">
        <f>IF(AND(ISNUMBER(C445),ISNUMBER(D445),ISNUMBER(E445)),ROUND(C445*D445*E445/6000,2),"")</f>
        <v/>
      </c>
    </row>
    <row r="446" ht="15" customHeight="1" s="22">
      <c r="G446" s="36">
        <f>IF(AND(ISNUMBER(C446),ISNUMBER(D446),ISNUMBER(E446)),ROUND(C446*D446*E446/6000,2),"")</f>
        <v/>
      </c>
    </row>
    <row r="447" ht="15" customHeight="1" s="22">
      <c r="G447" s="36">
        <f>IF(AND(ISNUMBER(C447),ISNUMBER(D447),ISNUMBER(E447)),ROUND(C447*D447*E447/6000,2),"")</f>
        <v/>
      </c>
    </row>
    <row r="448" ht="15" customHeight="1" s="22">
      <c r="G448" s="36">
        <f>IF(AND(ISNUMBER(C448),ISNUMBER(D448),ISNUMBER(E448)),ROUND(C448*D448*E448/6000,2),"")</f>
        <v/>
      </c>
    </row>
    <row r="449" ht="15" customHeight="1" s="22">
      <c r="G449" s="36">
        <f>IF(AND(ISNUMBER(C449),ISNUMBER(D449),ISNUMBER(E449)),ROUND(C449*D449*E449/6000,2),"")</f>
        <v/>
      </c>
    </row>
    <row r="450" ht="15" customHeight="1" s="22">
      <c r="G450" s="36">
        <f>IF(AND(ISNUMBER(C450),ISNUMBER(D450),ISNUMBER(E450)),ROUND(C450*D450*E450/6000,2),"")</f>
        <v/>
      </c>
    </row>
    <row r="451" ht="15" customHeight="1" s="22">
      <c r="G451" s="36">
        <f>IF(AND(ISNUMBER(C451),ISNUMBER(D451),ISNUMBER(E451)),ROUND(C451*D451*E451/6000,2),"")</f>
        <v/>
      </c>
    </row>
    <row r="452" ht="15" customHeight="1" s="22">
      <c r="G452" s="36">
        <f>IF(AND(ISNUMBER(C452),ISNUMBER(D452),ISNUMBER(E452)),ROUND(C452*D452*E452/6000,2),"")</f>
        <v/>
      </c>
    </row>
    <row r="453" ht="15" customHeight="1" s="22">
      <c r="G453" s="36">
        <f>IF(AND(ISNUMBER(C453),ISNUMBER(D453),ISNUMBER(E453)),ROUND(C453*D453*E453/6000,2),"")</f>
        <v/>
      </c>
    </row>
    <row r="454" ht="15" customHeight="1" s="22">
      <c r="G454" s="36">
        <f>IF(AND(ISNUMBER(C454),ISNUMBER(D454),ISNUMBER(E454)),ROUND(C454*D454*E454/6000,2),"")</f>
        <v/>
      </c>
    </row>
    <row r="455" ht="15" customHeight="1" s="22">
      <c r="G455" s="36">
        <f>IF(AND(ISNUMBER(C455),ISNUMBER(D455),ISNUMBER(E455)),ROUND(C455*D455*E455/6000,2),"")</f>
        <v/>
      </c>
    </row>
    <row r="456" ht="15" customHeight="1" s="22">
      <c r="G456" s="36">
        <f>IF(AND(ISNUMBER(C456),ISNUMBER(D456),ISNUMBER(E456)),ROUND(C456*D456*E456/6000,2),"")</f>
        <v/>
      </c>
    </row>
    <row r="457" ht="15" customHeight="1" s="22">
      <c r="G457" s="36">
        <f>IF(AND(ISNUMBER(C457),ISNUMBER(D457),ISNUMBER(E457)),ROUND(C457*D457*E457/6000,2),"")</f>
        <v/>
      </c>
    </row>
    <row r="458" ht="15" customHeight="1" s="22">
      <c r="G458" s="36">
        <f>IF(AND(ISNUMBER(C458),ISNUMBER(D458),ISNUMBER(E458)),ROUND(C458*D458*E458/6000,2),"")</f>
        <v/>
      </c>
    </row>
    <row r="459" ht="15" customHeight="1" s="22">
      <c r="G459" s="36">
        <f>IF(AND(ISNUMBER(C459),ISNUMBER(D459),ISNUMBER(E459)),ROUND(C459*D459*E459/6000,2),"")</f>
        <v/>
      </c>
    </row>
    <row r="460" ht="15" customHeight="1" s="22">
      <c r="G460" s="36">
        <f>IF(AND(ISNUMBER(C460),ISNUMBER(D460),ISNUMBER(E460)),ROUND(C460*D460*E460/6000,2),"")</f>
        <v/>
      </c>
    </row>
    <row r="461" ht="15" customHeight="1" s="22">
      <c r="G461" s="36">
        <f>IF(AND(ISNUMBER(C461),ISNUMBER(D461),ISNUMBER(E461)),ROUND(C461*D461*E461/6000,2),"")</f>
        <v/>
      </c>
    </row>
    <row r="462" ht="15" customHeight="1" s="22">
      <c r="G462" s="36">
        <f>IF(AND(ISNUMBER(C462),ISNUMBER(D462),ISNUMBER(E462)),ROUND(C462*D462*E462/6000,2),"")</f>
        <v/>
      </c>
    </row>
    <row r="463" ht="15" customHeight="1" s="22">
      <c r="G463" s="36">
        <f>IF(AND(ISNUMBER(C463),ISNUMBER(D463),ISNUMBER(E463)),ROUND(C463*D463*E463/6000,2),"")</f>
        <v/>
      </c>
    </row>
    <row r="464" ht="15" customHeight="1" s="22">
      <c r="G464" s="36">
        <f>IF(AND(ISNUMBER(C464),ISNUMBER(D464),ISNUMBER(E464)),ROUND(C464*D464*E464/6000,2),"")</f>
        <v/>
      </c>
    </row>
    <row r="465" ht="15" customHeight="1" s="22">
      <c r="G465" s="36">
        <f>IF(AND(ISNUMBER(C465),ISNUMBER(D465),ISNUMBER(E465)),ROUND(C465*D465*E465/6000,2),"")</f>
        <v/>
      </c>
    </row>
    <row r="466" ht="15" customHeight="1" s="22">
      <c r="G466" s="36">
        <f>IF(AND(ISNUMBER(C466),ISNUMBER(D466),ISNUMBER(E466)),ROUND(C466*D466*E466/6000,2),"")</f>
        <v/>
      </c>
    </row>
    <row r="467" ht="15" customHeight="1" s="22">
      <c r="G467" s="36">
        <f>IF(AND(ISNUMBER(C467),ISNUMBER(D467),ISNUMBER(E467)),ROUND(C467*D467*E467/6000,2),"")</f>
        <v/>
      </c>
    </row>
    <row r="468" ht="15" customHeight="1" s="22">
      <c r="G468" s="36">
        <f>IF(AND(ISNUMBER(C468),ISNUMBER(D468),ISNUMBER(E468)),ROUND(C468*D468*E468/6000,2),"")</f>
        <v/>
      </c>
    </row>
    <row r="469" ht="15" customHeight="1" s="22">
      <c r="G469" s="36">
        <f>IF(AND(ISNUMBER(C469),ISNUMBER(D469),ISNUMBER(E469)),ROUND(C469*D469*E469/6000,2),"")</f>
        <v/>
      </c>
    </row>
    <row r="470" ht="15" customHeight="1" s="22">
      <c r="G470" s="36">
        <f>IF(AND(ISNUMBER(C470),ISNUMBER(D470),ISNUMBER(E470)),ROUND(C470*D470*E470/6000,2),"")</f>
        <v/>
      </c>
    </row>
    <row r="471" ht="15" customHeight="1" s="22">
      <c r="G471" s="36">
        <f>IF(AND(ISNUMBER(C471),ISNUMBER(D471),ISNUMBER(E471)),ROUND(C471*D471*E471/6000,2),"")</f>
        <v/>
      </c>
    </row>
    <row r="472" ht="15" customHeight="1" s="22">
      <c r="G472" s="36">
        <f>IF(AND(ISNUMBER(C472),ISNUMBER(D472),ISNUMBER(E472)),ROUND(C472*D472*E472/6000,2),"")</f>
        <v/>
      </c>
    </row>
    <row r="473" ht="15" customHeight="1" s="22">
      <c r="G473" s="36">
        <f>IF(AND(ISNUMBER(C473),ISNUMBER(D473),ISNUMBER(E473)),ROUND(C473*D473*E473/6000,2),"")</f>
        <v/>
      </c>
    </row>
    <row r="474" ht="15" customHeight="1" s="22">
      <c r="G474" s="36">
        <f>IF(AND(ISNUMBER(C474),ISNUMBER(D474),ISNUMBER(E474)),ROUND(C474*D474*E474/6000,2),"")</f>
        <v/>
      </c>
    </row>
    <row r="475" ht="15" customHeight="1" s="22">
      <c r="G475" s="36">
        <f>IF(AND(ISNUMBER(C475),ISNUMBER(D475),ISNUMBER(E475)),ROUND(C475*D475*E475/6000,2),"")</f>
        <v/>
      </c>
    </row>
    <row r="476" ht="15" customHeight="1" s="22">
      <c r="G476" s="36">
        <f>IF(AND(ISNUMBER(C476),ISNUMBER(D476),ISNUMBER(E476)),ROUND(C476*D476*E476/6000,2),"")</f>
        <v/>
      </c>
    </row>
    <row r="477" ht="15" customHeight="1" s="22">
      <c r="G477" s="36">
        <f>IF(AND(ISNUMBER(C477),ISNUMBER(D477),ISNUMBER(E477)),ROUND(C477*D477*E477/6000,2),"")</f>
        <v/>
      </c>
    </row>
    <row r="478" ht="15" customHeight="1" s="22">
      <c r="G478" s="36">
        <f>IF(AND(ISNUMBER(C478),ISNUMBER(D478),ISNUMBER(E478)),ROUND(C478*D478*E478/6000,2),"")</f>
        <v/>
      </c>
    </row>
    <row r="479" ht="15" customHeight="1" s="22">
      <c r="G479" s="36">
        <f>IF(AND(ISNUMBER(C479),ISNUMBER(D479),ISNUMBER(E479)),ROUND(C479*D479*E479/6000,2),"")</f>
        <v/>
      </c>
    </row>
    <row r="480" ht="15" customHeight="1" s="22">
      <c r="G480" s="36">
        <f>IF(AND(ISNUMBER(C480),ISNUMBER(D480),ISNUMBER(E480)),ROUND(C480*D480*E480/6000,2),"")</f>
        <v/>
      </c>
    </row>
    <row r="481" ht="15" customHeight="1" s="22">
      <c r="G481" s="36">
        <f>IF(AND(ISNUMBER(C481),ISNUMBER(D481),ISNUMBER(E481)),ROUND(C481*D481*E481/6000,2),"")</f>
        <v/>
      </c>
    </row>
    <row r="482" ht="15" customHeight="1" s="22">
      <c r="G482" s="36">
        <f>IF(AND(ISNUMBER(C482),ISNUMBER(D482),ISNUMBER(E482)),ROUND(C482*D482*E482/6000,2),"")</f>
        <v/>
      </c>
    </row>
    <row r="483" ht="15" customHeight="1" s="22">
      <c r="G483" s="36">
        <f>IF(AND(ISNUMBER(C483),ISNUMBER(D483),ISNUMBER(E483)),ROUND(C483*D483*E483/6000,2),"")</f>
        <v/>
      </c>
    </row>
    <row r="484" ht="15" customHeight="1" s="22">
      <c r="G484" s="36">
        <f>IF(AND(ISNUMBER(C484),ISNUMBER(D484),ISNUMBER(E484)),ROUND(C484*D484*E484/6000,2),"")</f>
        <v/>
      </c>
    </row>
    <row r="485" ht="15" customHeight="1" s="22">
      <c r="G485" s="36">
        <f>IF(AND(ISNUMBER(C485),ISNUMBER(D485),ISNUMBER(E485)),ROUND(C485*D485*E485/6000,2),"")</f>
        <v/>
      </c>
    </row>
    <row r="486" ht="15" customHeight="1" s="22">
      <c r="G486" s="36">
        <f>IF(AND(ISNUMBER(C486),ISNUMBER(D486),ISNUMBER(E486)),ROUND(C486*D486*E486/6000,2),"")</f>
        <v/>
      </c>
    </row>
    <row r="487" ht="15" customHeight="1" s="22">
      <c r="G487" s="36">
        <f>IF(AND(ISNUMBER(C487),ISNUMBER(D487),ISNUMBER(E487)),ROUND(C487*D487*E487/6000,2),"")</f>
        <v/>
      </c>
    </row>
    <row r="488" ht="15" customHeight="1" s="22">
      <c r="G488" s="36">
        <f>IF(AND(ISNUMBER(C488),ISNUMBER(D488),ISNUMBER(E488)),ROUND(C488*D488*E488/6000,2),"")</f>
        <v/>
      </c>
    </row>
    <row r="489" ht="15" customHeight="1" s="22">
      <c r="G489" s="36">
        <f>IF(AND(ISNUMBER(C489),ISNUMBER(D489),ISNUMBER(E489)),ROUND(C489*D489*E489/6000,2),"")</f>
        <v/>
      </c>
    </row>
    <row r="490" ht="15" customHeight="1" s="22">
      <c r="G490" s="36">
        <f>IF(AND(ISNUMBER(C490),ISNUMBER(D490),ISNUMBER(E490)),ROUND(C490*D490*E490/6000,2),"")</f>
        <v/>
      </c>
    </row>
    <row r="491" ht="15" customHeight="1" s="22">
      <c r="G491" s="36">
        <f>IF(AND(ISNUMBER(C491),ISNUMBER(D491),ISNUMBER(E491)),ROUND(C491*D491*E491/6000,2),"")</f>
        <v/>
      </c>
    </row>
    <row r="492" ht="15" customHeight="1" s="22">
      <c r="G492" s="36">
        <f>IF(AND(ISNUMBER(C492),ISNUMBER(D492),ISNUMBER(E492)),ROUND(C492*D492*E492/6000,2),"")</f>
        <v/>
      </c>
    </row>
    <row r="493" ht="15" customHeight="1" s="22">
      <c r="G493" s="36">
        <f>IF(AND(ISNUMBER(C493),ISNUMBER(D493),ISNUMBER(E493)),ROUND(C493*D493*E493/6000,2),"")</f>
        <v/>
      </c>
    </row>
    <row r="494" ht="15" customHeight="1" s="22">
      <c r="G494" s="36">
        <f>IF(AND(ISNUMBER(C494),ISNUMBER(D494),ISNUMBER(E494)),ROUND(C494*D494*E494/6000,2),"")</f>
        <v/>
      </c>
    </row>
    <row r="495" ht="15" customHeight="1" s="22">
      <c r="G495" s="36">
        <f>IF(AND(ISNUMBER(C495),ISNUMBER(D495),ISNUMBER(E495)),ROUND(C495*D495*E495/6000,2),"")</f>
        <v/>
      </c>
    </row>
    <row r="496" ht="15" customHeight="1" s="22">
      <c r="G496" s="36">
        <f>IF(AND(ISNUMBER(C496),ISNUMBER(D496),ISNUMBER(E496)),ROUND(C496*D496*E496/6000,2),"")</f>
        <v/>
      </c>
    </row>
    <row r="497" ht="15" customHeight="1" s="22">
      <c r="G497" s="36">
        <f>IF(AND(ISNUMBER(C497),ISNUMBER(D497),ISNUMBER(E497)),ROUND(C497*D497*E497/6000,2),"")</f>
        <v/>
      </c>
    </row>
    <row r="498" ht="15" customHeight="1" s="22">
      <c r="G498" s="36">
        <f>IF(AND(ISNUMBER(C498),ISNUMBER(D498),ISNUMBER(E498)),ROUND(C498*D498*E498/6000,2),"")</f>
        <v/>
      </c>
    </row>
    <row r="499" ht="15" customHeight="1" s="22">
      <c r="G499" s="36">
        <f>IF(AND(ISNUMBER(C499),ISNUMBER(D499),ISNUMBER(E499)),ROUND(C499*D499*E499/6000,2),"")</f>
        <v/>
      </c>
    </row>
    <row r="500" ht="15" customHeight="1" s="22">
      <c r="G500" s="36">
        <f>IF(AND(ISNUMBER(C500),ISNUMBER(D500),ISNUMBER(E500)),ROUND(C500*D500*E500/6000,2),"")</f>
        <v/>
      </c>
    </row>
  </sheetData>
  <autoFilter ref="A1:I1"/>
  <dataValidations count="3">
    <dataValidation sqref="F2:F500" showDropDown="0" showInputMessage="0" showErrorMessage="1" allowBlank="1" error="Enter a number of zero or more." type="decimal" errorStyle="stop" operator="greaterThanOrEqual">
      <formula1>0</formula1>
      <formula2>0</formula2>
    </dataValidation>
    <dataValidation sqref="C2:E500" showDropDown="0" showInputMessage="0" showErrorMessage="1" allowBlank="0" error="Enter a number of zero or more." type="decimal" errorStyle="stop" operator="greaterThanOrEqual">
      <formula1>0</formula1>
      <formula2>0</formula2>
    </dataValidation>
    <dataValidation sqref="I2:I500" showDropDown="0" showInputMessage="0" showErrorMessage="1" allowBlank="0" errorTitle="Not in list" error="Pick a value from the YesNo list." type="list" errorStyle="stop" operator="between">
      <formula1>Lists!$D$2:$D$3</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E50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21" min="1" max="1"/>
    <col width="14" customWidth="1" style="21" min="2" max="2"/>
    <col width="21" customWidth="1" style="21" min="3" max="3"/>
    <col width="19" customWidth="1" style="21" min="4" max="4"/>
    <col width="25" customWidth="1" style="21" min="5" max="5"/>
  </cols>
  <sheetData>
    <row r="1" ht="31.5" customHeight="1" s="22">
      <c r="A1" s="32" t="inlineStr">
        <is>
          <t>product_code *</t>
        </is>
      </c>
      <c r="B1" s="32" t="inlineStr">
        <is>
          <t>box_code *</t>
        </is>
      </c>
      <c r="C1" s="32" t="inlineStr">
        <is>
          <t>bunches_per_box *</t>
        </is>
      </c>
      <c r="D1" s="33" t="inlineStr">
        <is>
          <t>stems_per_box</t>
        </is>
      </c>
      <c r="E1" s="33" t="inlineStr">
        <is>
          <t>est_gross_weight_kg</t>
        </is>
      </c>
    </row>
    <row r="2" ht="15" customHeight="1" s="22">
      <c r="A2" s="34" t="inlineStr">
        <is>
          <t>ROS-RN-A1-70</t>
        </is>
      </c>
      <c r="B2" s="34" t="inlineStr">
        <is>
          <t>QB</t>
        </is>
      </c>
      <c r="C2" s="34" t="n">
        <v>8</v>
      </c>
      <c r="D2" s="37">
        <f>IFERROR(C2*INDEX(Products!$K:$K,MATCH(A2,Products!$A:$A,0)),"")</f>
        <v/>
      </c>
      <c r="E2" s="34" t="n">
        <v>9.5</v>
      </c>
    </row>
    <row r="3" ht="15" customHeight="1" s="22">
      <c r="D3" s="38">
        <f>IFERROR(C3*INDEX(Products!$K:$K,MATCH(A3,Products!$A:$A,0)),"")</f>
        <v/>
      </c>
    </row>
    <row r="4" ht="15" customHeight="1" s="22">
      <c r="D4" s="38">
        <f>IFERROR(C4*INDEX(Products!$K:$K,MATCH(A4,Products!$A:$A,0)),"")</f>
        <v/>
      </c>
    </row>
    <row r="5" ht="15" customHeight="1" s="22">
      <c r="D5" s="38">
        <f>IFERROR(C5*INDEX(Products!$K:$K,MATCH(A5,Products!$A:$A,0)),"")</f>
        <v/>
      </c>
    </row>
    <row r="6" ht="15" customHeight="1" s="22">
      <c r="D6" s="38">
        <f>IFERROR(C6*INDEX(Products!$K:$K,MATCH(A6,Products!$A:$A,0)),"")</f>
        <v/>
      </c>
    </row>
    <row r="7" ht="15" customHeight="1" s="22">
      <c r="D7" s="38">
        <f>IFERROR(C7*INDEX(Products!$K:$K,MATCH(A7,Products!$A:$A,0)),"")</f>
        <v/>
      </c>
    </row>
    <row r="8" ht="15" customHeight="1" s="22">
      <c r="D8" s="38">
        <f>IFERROR(C8*INDEX(Products!$K:$K,MATCH(A8,Products!$A:$A,0)),"")</f>
        <v/>
      </c>
    </row>
    <row r="9" ht="15" customHeight="1" s="22">
      <c r="D9" s="38">
        <f>IFERROR(C9*INDEX(Products!$K:$K,MATCH(A9,Products!$A:$A,0)),"")</f>
        <v/>
      </c>
    </row>
    <row r="10" ht="15" customHeight="1" s="22">
      <c r="D10" s="38">
        <f>IFERROR(C10*INDEX(Products!$K:$K,MATCH(A10,Products!$A:$A,0)),"")</f>
        <v/>
      </c>
    </row>
    <row r="11" ht="15" customHeight="1" s="22">
      <c r="D11" s="38">
        <f>IFERROR(C11*INDEX(Products!$K:$K,MATCH(A11,Products!$A:$A,0)),"")</f>
        <v/>
      </c>
    </row>
    <row r="12" ht="15" customHeight="1" s="22">
      <c r="D12" s="38">
        <f>IFERROR(C12*INDEX(Products!$K:$K,MATCH(A12,Products!$A:$A,0)),"")</f>
        <v/>
      </c>
    </row>
    <row r="13" ht="15" customHeight="1" s="22">
      <c r="D13" s="38">
        <f>IFERROR(C13*INDEX(Products!$K:$K,MATCH(A13,Products!$A:$A,0)),"")</f>
        <v/>
      </c>
    </row>
    <row r="14" ht="15" customHeight="1" s="22">
      <c r="D14" s="38">
        <f>IFERROR(C14*INDEX(Products!$K:$K,MATCH(A14,Products!$A:$A,0)),"")</f>
        <v/>
      </c>
    </row>
    <row r="15" ht="15" customHeight="1" s="22">
      <c r="D15" s="38">
        <f>IFERROR(C15*INDEX(Products!$K:$K,MATCH(A15,Products!$A:$A,0)),"")</f>
        <v/>
      </c>
    </row>
    <row r="16" ht="15" customHeight="1" s="22">
      <c r="D16" s="38">
        <f>IFERROR(C16*INDEX(Products!$K:$K,MATCH(A16,Products!$A:$A,0)),"")</f>
        <v/>
      </c>
    </row>
    <row r="17" ht="15" customHeight="1" s="22">
      <c r="D17" s="38">
        <f>IFERROR(C17*INDEX(Products!$K:$K,MATCH(A17,Products!$A:$A,0)),"")</f>
        <v/>
      </c>
    </row>
    <row r="18" ht="15" customHeight="1" s="22">
      <c r="D18" s="38">
        <f>IFERROR(C18*INDEX(Products!$K:$K,MATCH(A18,Products!$A:$A,0)),"")</f>
        <v/>
      </c>
    </row>
    <row r="19" ht="15" customHeight="1" s="22">
      <c r="D19" s="38">
        <f>IFERROR(C19*INDEX(Products!$K:$K,MATCH(A19,Products!$A:$A,0)),"")</f>
        <v/>
      </c>
    </row>
    <row r="20" ht="15" customHeight="1" s="22">
      <c r="D20" s="38">
        <f>IFERROR(C20*INDEX(Products!$K:$K,MATCH(A20,Products!$A:$A,0)),"")</f>
        <v/>
      </c>
    </row>
    <row r="21" ht="15" customHeight="1" s="22">
      <c r="D21" s="38">
        <f>IFERROR(C21*INDEX(Products!$K:$K,MATCH(A21,Products!$A:$A,0)),"")</f>
        <v/>
      </c>
    </row>
    <row r="22" ht="15" customHeight="1" s="22">
      <c r="D22" s="38">
        <f>IFERROR(C22*INDEX(Products!$K:$K,MATCH(A22,Products!$A:$A,0)),"")</f>
        <v/>
      </c>
    </row>
    <row r="23" ht="15" customHeight="1" s="22">
      <c r="D23" s="38">
        <f>IFERROR(C23*INDEX(Products!$K:$K,MATCH(A23,Products!$A:$A,0)),"")</f>
        <v/>
      </c>
    </row>
    <row r="24" ht="15" customHeight="1" s="22">
      <c r="D24" s="38">
        <f>IFERROR(C24*INDEX(Products!$K:$K,MATCH(A24,Products!$A:$A,0)),"")</f>
        <v/>
      </c>
    </row>
    <row r="25" ht="15" customHeight="1" s="22">
      <c r="D25" s="38">
        <f>IFERROR(C25*INDEX(Products!$K:$K,MATCH(A25,Products!$A:$A,0)),"")</f>
        <v/>
      </c>
    </row>
    <row r="26" ht="15" customHeight="1" s="22">
      <c r="D26" s="38">
        <f>IFERROR(C26*INDEX(Products!$K:$K,MATCH(A26,Products!$A:$A,0)),"")</f>
        <v/>
      </c>
    </row>
    <row r="27" ht="15" customHeight="1" s="22">
      <c r="D27" s="38">
        <f>IFERROR(C27*INDEX(Products!$K:$K,MATCH(A27,Products!$A:$A,0)),"")</f>
        <v/>
      </c>
    </row>
    <row r="28" ht="15" customHeight="1" s="22">
      <c r="D28" s="38">
        <f>IFERROR(C28*INDEX(Products!$K:$K,MATCH(A28,Products!$A:$A,0)),"")</f>
        <v/>
      </c>
    </row>
    <row r="29" ht="15" customHeight="1" s="22">
      <c r="D29" s="38">
        <f>IFERROR(C29*INDEX(Products!$K:$K,MATCH(A29,Products!$A:$A,0)),"")</f>
        <v/>
      </c>
    </row>
    <row r="30" ht="15" customHeight="1" s="22">
      <c r="D30" s="38">
        <f>IFERROR(C30*INDEX(Products!$K:$K,MATCH(A30,Products!$A:$A,0)),"")</f>
        <v/>
      </c>
    </row>
    <row r="31" ht="15" customHeight="1" s="22">
      <c r="D31" s="38">
        <f>IFERROR(C31*INDEX(Products!$K:$K,MATCH(A31,Products!$A:$A,0)),"")</f>
        <v/>
      </c>
    </row>
    <row r="32" ht="15" customHeight="1" s="22">
      <c r="D32" s="38">
        <f>IFERROR(C32*INDEX(Products!$K:$K,MATCH(A32,Products!$A:$A,0)),"")</f>
        <v/>
      </c>
    </row>
    <row r="33" ht="15" customHeight="1" s="22">
      <c r="D33" s="38">
        <f>IFERROR(C33*INDEX(Products!$K:$K,MATCH(A33,Products!$A:$A,0)),"")</f>
        <v/>
      </c>
    </row>
    <row r="34" ht="15" customHeight="1" s="22">
      <c r="D34" s="38">
        <f>IFERROR(C34*INDEX(Products!$K:$K,MATCH(A34,Products!$A:$A,0)),"")</f>
        <v/>
      </c>
    </row>
    <row r="35" ht="15" customHeight="1" s="22">
      <c r="D35" s="38">
        <f>IFERROR(C35*INDEX(Products!$K:$K,MATCH(A35,Products!$A:$A,0)),"")</f>
        <v/>
      </c>
    </row>
    <row r="36" ht="15" customHeight="1" s="22">
      <c r="D36" s="38">
        <f>IFERROR(C36*INDEX(Products!$K:$K,MATCH(A36,Products!$A:$A,0)),"")</f>
        <v/>
      </c>
    </row>
    <row r="37" ht="15" customHeight="1" s="22">
      <c r="D37" s="38">
        <f>IFERROR(C37*INDEX(Products!$K:$K,MATCH(A37,Products!$A:$A,0)),"")</f>
        <v/>
      </c>
    </row>
    <row r="38" ht="15" customHeight="1" s="22">
      <c r="D38" s="38">
        <f>IFERROR(C38*INDEX(Products!$K:$K,MATCH(A38,Products!$A:$A,0)),"")</f>
        <v/>
      </c>
    </row>
    <row r="39" ht="15" customHeight="1" s="22">
      <c r="D39" s="38">
        <f>IFERROR(C39*INDEX(Products!$K:$K,MATCH(A39,Products!$A:$A,0)),"")</f>
        <v/>
      </c>
    </row>
    <row r="40" ht="15" customHeight="1" s="22">
      <c r="D40" s="38">
        <f>IFERROR(C40*INDEX(Products!$K:$K,MATCH(A40,Products!$A:$A,0)),"")</f>
        <v/>
      </c>
    </row>
    <row r="41" ht="15" customHeight="1" s="22">
      <c r="D41" s="38">
        <f>IFERROR(C41*INDEX(Products!$K:$K,MATCH(A41,Products!$A:$A,0)),"")</f>
        <v/>
      </c>
    </row>
    <row r="42" ht="15" customHeight="1" s="22">
      <c r="D42" s="38">
        <f>IFERROR(C42*INDEX(Products!$K:$K,MATCH(A42,Products!$A:$A,0)),"")</f>
        <v/>
      </c>
    </row>
    <row r="43" ht="15" customHeight="1" s="22">
      <c r="D43" s="38">
        <f>IFERROR(C43*INDEX(Products!$K:$K,MATCH(A43,Products!$A:$A,0)),"")</f>
        <v/>
      </c>
    </row>
    <row r="44" ht="15" customHeight="1" s="22">
      <c r="D44" s="38">
        <f>IFERROR(C44*INDEX(Products!$K:$K,MATCH(A44,Products!$A:$A,0)),"")</f>
        <v/>
      </c>
    </row>
    <row r="45" ht="15" customHeight="1" s="22">
      <c r="D45" s="38">
        <f>IFERROR(C45*INDEX(Products!$K:$K,MATCH(A45,Products!$A:$A,0)),"")</f>
        <v/>
      </c>
    </row>
    <row r="46" ht="15" customHeight="1" s="22">
      <c r="D46" s="38">
        <f>IFERROR(C46*INDEX(Products!$K:$K,MATCH(A46,Products!$A:$A,0)),"")</f>
        <v/>
      </c>
    </row>
    <row r="47" ht="15" customHeight="1" s="22">
      <c r="D47" s="38">
        <f>IFERROR(C47*INDEX(Products!$K:$K,MATCH(A47,Products!$A:$A,0)),"")</f>
        <v/>
      </c>
    </row>
    <row r="48" ht="15" customHeight="1" s="22">
      <c r="D48" s="38">
        <f>IFERROR(C48*INDEX(Products!$K:$K,MATCH(A48,Products!$A:$A,0)),"")</f>
        <v/>
      </c>
    </row>
    <row r="49" ht="15" customHeight="1" s="22">
      <c r="D49" s="38">
        <f>IFERROR(C49*INDEX(Products!$K:$K,MATCH(A49,Products!$A:$A,0)),"")</f>
        <v/>
      </c>
    </row>
    <row r="50" ht="15" customHeight="1" s="22">
      <c r="D50" s="38">
        <f>IFERROR(C50*INDEX(Products!$K:$K,MATCH(A50,Products!$A:$A,0)),"")</f>
        <v/>
      </c>
    </row>
    <row r="51" ht="15" customHeight="1" s="22">
      <c r="D51" s="38">
        <f>IFERROR(C51*INDEX(Products!$K:$K,MATCH(A51,Products!$A:$A,0)),"")</f>
        <v/>
      </c>
    </row>
    <row r="52" ht="15" customHeight="1" s="22">
      <c r="D52" s="38">
        <f>IFERROR(C52*INDEX(Products!$K:$K,MATCH(A52,Products!$A:$A,0)),"")</f>
        <v/>
      </c>
    </row>
    <row r="53" ht="15" customHeight="1" s="22">
      <c r="D53" s="38">
        <f>IFERROR(C53*INDEX(Products!$K:$K,MATCH(A53,Products!$A:$A,0)),"")</f>
        <v/>
      </c>
    </row>
    <row r="54" ht="15" customHeight="1" s="22">
      <c r="D54" s="38">
        <f>IFERROR(C54*INDEX(Products!$K:$K,MATCH(A54,Products!$A:$A,0)),"")</f>
        <v/>
      </c>
    </row>
    <row r="55" ht="15" customHeight="1" s="22">
      <c r="D55" s="38">
        <f>IFERROR(C55*INDEX(Products!$K:$K,MATCH(A55,Products!$A:$A,0)),"")</f>
        <v/>
      </c>
    </row>
    <row r="56" ht="15" customHeight="1" s="22">
      <c r="D56" s="38">
        <f>IFERROR(C56*INDEX(Products!$K:$K,MATCH(A56,Products!$A:$A,0)),"")</f>
        <v/>
      </c>
    </row>
    <row r="57" ht="15" customHeight="1" s="22">
      <c r="D57" s="38">
        <f>IFERROR(C57*INDEX(Products!$K:$K,MATCH(A57,Products!$A:$A,0)),"")</f>
        <v/>
      </c>
    </row>
    <row r="58" ht="15" customHeight="1" s="22">
      <c r="D58" s="38">
        <f>IFERROR(C58*INDEX(Products!$K:$K,MATCH(A58,Products!$A:$A,0)),"")</f>
        <v/>
      </c>
    </row>
    <row r="59" ht="15" customHeight="1" s="22">
      <c r="D59" s="38">
        <f>IFERROR(C59*INDEX(Products!$K:$K,MATCH(A59,Products!$A:$A,0)),"")</f>
        <v/>
      </c>
    </row>
    <row r="60" ht="15" customHeight="1" s="22">
      <c r="D60" s="38">
        <f>IFERROR(C60*INDEX(Products!$K:$K,MATCH(A60,Products!$A:$A,0)),"")</f>
        <v/>
      </c>
    </row>
    <row r="61" ht="15" customHeight="1" s="22">
      <c r="D61" s="38">
        <f>IFERROR(C61*INDEX(Products!$K:$K,MATCH(A61,Products!$A:$A,0)),"")</f>
        <v/>
      </c>
    </row>
    <row r="62" ht="15" customHeight="1" s="22">
      <c r="D62" s="38">
        <f>IFERROR(C62*INDEX(Products!$K:$K,MATCH(A62,Products!$A:$A,0)),"")</f>
        <v/>
      </c>
    </row>
    <row r="63" ht="15" customHeight="1" s="22">
      <c r="D63" s="38">
        <f>IFERROR(C63*INDEX(Products!$K:$K,MATCH(A63,Products!$A:$A,0)),"")</f>
        <v/>
      </c>
    </row>
    <row r="64" ht="15" customHeight="1" s="22">
      <c r="D64" s="38">
        <f>IFERROR(C64*INDEX(Products!$K:$K,MATCH(A64,Products!$A:$A,0)),"")</f>
        <v/>
      </c>
    </row>
    <row r="65" ht="15" customHeight="1" s="22">
      <c r="D65" s="38">
        <f>IFERROR(C65*INDEX(Products!$K:$K,MATCH(A65,Products!$A:$A,0)),"")</f>
        <v/>
      </c>
    </row>
    <row r="66" ht="15" customHeight="1" s="22">
      <c r="D66" s="38">
        <f>IFERROR(C66*INDEX(Products!$K:$K,MATCH(A66,Products!$A:$A,0)),"")</f>
        <v/>
      </c>
    </row>
    <row r="67" ht="15" customHeight="1" s="22">
      <c r="D67" s="38">
        <f>IFERROR(C67*INDEX(Products!$K:$K,MATCH(A67,Products!$A:$A,0)),"")</f>
        <v/>
      </c>
    </row>
    <row r="68" ht="15" customHeight="1" s="22">
      <c r="D68" s="38">
        <f>IFERROR(C68*INDEX(Products!$K:$K,MATCH(A68,Products!$A:$A,0)),"")</f>
        <v/>
      </c>
    </row>
    <row r="69" ht="15" customHeight="1" s="22">
      <c r="D69" s="38">
        <f>IFERROR(C69*INDEX(Products!$K:$K,MATCH(A69,Products!$A:$A,0)),"")</f>
        <v/>
      </c>
    </row>
    <row r="70" ht="15" customHeight="1" s="22">
      <c r="D70" s="38">
        <f>IFERROR(C70*INDEX(Products!$K:$K,MATCH(A70,Products!$A:$A,0)),"")</f>
        <v/>
      </c>
    </row>
    <row r="71" ht="15" customHeight="1" s="22">
      <c r="D71" s="38">
        <f>IFERROR(C71*INDEX(Products!$K:$K,MATCH(A71,Products!$A:$A,0)),"")</f>
        <v/>
      </c>
    </row>
    <row r="72" ht="15" customHeight="1" s="22">
      <c r="D72" s="38">
        <f>IFERROR(C72*INDEX(Products!$K:$K,MATCH(A72,Products!$A:$A,0)),"")</f>
        <v/>
      </c>
    </row>
    <row r="73" ht="15" customHeight="1" s="22">
      <c r="D73" s="38">
        <f>IFERROR(C73*INDEX(Products!$K:$K,MATCH(A73,Products!$A:$A,0)),"")</f>
        <v/>
      </c>
    </row>
    <row r="74" ht="15" customHeight="1" s="22">
      <c r="D74" s="38">
        <f>IFERROR(C74*INDEX(Products!$K:$K,MATCH(A74,Products!$A:$A,0)),"")</f>
        <v/>
      </c>
    </row>
    <row r="75" ht="15" customHeight="1" s="22">
      <c r="D75" s="38">
        <f>IFERROR(C75*INDEX(Products!$K:$K,MATCH(A75,Products!$A:$A,0)),"")</f>
        <v/>
      </c>
    </row>
    <row r="76" ht="15" customHeight="1" s="22">
      <c r="D76" s="38">
        <f>IFERROR(C76*INDEX(Products!$K:$K,MATCH(A76,Products!$A:$A,0)),"")</f>
        <v/>
      </c>
    </row>
    <row r="77" ht="15" customHeight="1" s="22">
      <c r="D77" s="38">
        <f>IFERROR(C77*INDEX(Products!$K:$K,MATCH(A77,Products!$A:$A,0)),"")</f>
        <v/>
      </c>
    </row>
    <row r="78" ht="15" customHeight="1" s="22">
      <c r="D78" s="38">
        <f>IFERROR(C78*INDEX(Products!$K:$K,MATCH(A78,Products!$A:$A,0)),"")</f>
        <v/>
      </c>
    </row>
    <row r="79" ht="15" customHeight="1" s="22">
      <c r="D79" s="38">
        <f>IFERROR(C79*INDEX(Products!$K:$K,MATCH(A79,Products!$A:$A,0)),"")</f>
        <v/>
      </c>
    </row>
    <row r="80" ht="15" customHeight="1" s="22">
      <c r="D80" s="38">
        <f>IFERROR(C80*INDEX(Products!$K:$K,MATCH(A80,Products!$A:$A,0)),"")</f>
        <v/>
      </c>
    </row>
    <row r="81" ht="15" customHeight="1" s="22">
      <c r="D81" s="38">
        <f>IFERROR(C81*INDEX(Products!$K:$K,MATCH(A81,Products!$A:$A,0)),"")</f>
        <v/>
      </c>
    </row>
    <row r="82" ht="15" customHeight="1" s="22">
      <c r="D82" s="38">
        <f>IFERROR(C82*INDEX(Products!$K:$K,MATCH(A82,Products!$A:$A,0)),"")</f>
        <v/>
      </c>
    </row>
    <row r="83" ht="15" customHeight="1" s="22">
      <c r="D83" s="38">
        <f>IFERROR(C83*INDEX(Products!$K:$K,MATCH(A83,Products!$A:$A,0)),"")</f>
        <v/>
      </c>
    </row>
    <row r="84" ht="15" customHeight="1" s="22">
      <c r="D84" s="38">
        <f>IFERROR(C84*INDEX(Products!$K:$K,MATCH(A84,Products!$A:$A,0)),"")</f>
        <v/>
      </c>
    </row>
    <row r="85" ht="15" customHeight="1" s="22">
      <c r="D85" s="38">
        <f>IFERROR(C85*INDEX(Products!$K:$K,MATCH(A85,Products!$A:$A,0)),"")</f>
        <v/>
      </c>
    </row>
    <row r="86" ht="15" customHeight="1" s="22">
      <c r="D86" s="38">
        <f>IFERROR(C86*INDEX(Products!$K:$K,MATCH(A86,Products!$A:$A,0)),"")</f>
        <v/>
      </c>
    </row>
    <row r="87" ht="15" customHeight="1" s="22">
      <c r="D87" s="38">
        <f>IFERROR(C87*INDEX(Products!$K:$K,MATCH(A87,Products!$A:$A,0)),"")</f>
        <v/>
      </c>
    </row>
    <row r="88" ht="15" customHeight="1" s="22">
      <c r="D88" s="38">
        <f>IFERROR(C88*INDEX(Products!$K:$K,MATCH(A88,Products!$A:$A,0)),"")</f>
        <v/>
      </c>
    </row>
    <row r="89" ht="15" customHeight="1" s="22">
      <c r="D89" s="38">
        <f>IFERROR(C89*INDEX(Products!$K:$K,MATCH(A89,Products!$A:$A,0)),"")</f>
        <v/>
      </c>
    </row>
    <row r="90" ht="15" customHeight="1" s="22">
      <c r="D90" s="38">
        <f>IFERROR(C90*INDEX(Products!$K:$K,MATCH(A90,Products!$A:$A,0)),"")</f>
        <v/>
      </c>
    </row>
    <row r="91" ht="15" customHeight="1" s="22">
      <c r="D91" s="38">
        <f>IFERROR(C91*INDEX(Products!$K:$K,MATCH(A91,Products!$A:$A,0)),"")</f>
        <v/>
      </c>
    </row>
    <row r="92" ht="15" customHeight="1" s="22">
      <c r="D92" s="38">
        <f>IFERROR(C92*INDEX(Products!$K:$K,MATCH(A92,Products!$A:$A,0)),"")</f>
        <v/>
      </c>
    </row>
    <row r="93" ht="15" customHeight="1" s="22">
      <c r="D93" s="38">
        <f>IFERROR(C93*INDEX(Products!$K:$K,MATCH(A93,Products!$A:$A,0)),"")</f>
        <v/>
      </c>
    </row>
    <row r="94" ht="15" customHeight="1" s="22">
      <c r="D94" s="38">
        <f>IFERROR(C94*INDEX(Products!$K:$K,MATCH(A94,Products!$A:$A,0)),"")</f>
        <v/>
      </c>
    </row>
    <row r="95" ht="15" customHeight="1" s="22">
      <c r="D95" s="38">
        <f>IFERROR(C95*INDEX(Products!$K:$K,MATCH(A95,Products!$A:$A,0)),"")</f>
        <v/>
      </c>
    </row>
    <row r="96" ht="15" customHeight="1" s="22">
      <c r="D96" s="38">
        <f>IFERROR(C96*INDEX(Products!$K:$K,MATCH(A96,Products!$A:$A,0)),"")</f>
        <v/>
      </c>
    </row>
    <row r="97" ht="15" customHeight="1" s="22">
      <c r="D97" s="38">
        <f>IFERROR(C97*INDEX(Products!$K:$K,MATCH(A97,Products!$A:$A,0)),"")</f>
        <v/>
      </c>
    </row>
    <row r="98" ht="15" customHeight="1" s="22">
      <c r="D98" s="38">
        <f>IFERROR(C98*INDEX(Products!$K:$K,MATCH(A98,Products!$A:$A,0)),"")</f>
        <v/>
      </c>
    </row>
    <row r="99" ht="15" customHeight="1" s="22">
      <c r="D99" s="38">
        <f>IFERROR(C99*INDEX(Products!$K:$K,MATCH(A99,Products!$A:$A,0)),"")</f>
        <v/>
      </c>
    </row>
    <row r="100" ht="15" customHeight="1" s="22">
      <c r="D100" s="38">
        <f>IFERROR(C100*INDEX(Products!$K:$K,MATCH(A100,Products!$A:$A,0)),"")</f>
        <v/>
      </c>
    </row>
    <row r="101" ht="15" customHeight="1" s="22">
      <c r="D101" s="38">
        <f>IFERROR(C101*INDEX(Products!$K:$K,MATCH(A101,Products!$A:$A,0)),"")</f>
        <v/>
      </c>
    </row>
    <row r="102" ht="15" customHeight="1" s="22">
      <c r="D102" s="38">
        <f>IFERROR(C102*INDEX(Products!$K:$K,MATCH(A102,Products!$A:$A,0)),"")</f>
        <v/>
      </c>
    </row>
    <row r="103" ht="15" customHeight="1" s="22">
      <c r="D103" s="38">
        <f>IFERROR(C103*INDEX(Products!$K:$K,MATCH(A103,Products!$A:$A,0)),"")</f>
        <v/>
      </c>
    </row>
    <row r="104" ht="15" customHeight="1" s="22">
      <c r="D104" s="38">
        <f>IFERROR(C104*INDEX(Products!$K:$K,MATCH(A104,Products!$A:$A,0)),"")</f>
        <v/>
      </c>
    </row>
    <row r="105" ht="15" customHeight="1" s="22">
      <c r="D105" s="38">
        <f>IFERROR(C105*INDEX(Products!$K:$K,MATCH(A105,Products!$A:$A,0)),"")</f>
        <v/>
      </c>
    </row>
    <row r="106" ht="15" customHeight="1" s="22">
      <c r="D106" s="38">
        <f>IFERROR(C106*INDEX(Products!$K:$K,MATCH(A106,Products!$A:$A,0)),"")</f>
        <v/>
      </c>
    </row>
    <row r="107" ht="15" customHeight="1" s="22">
      <c r="D107" s="38">
        <f>IFERROR(C107*INDEX(Products!$K:$K,MATCH(A107,Products!$A:$A,0)),"")</f>
        <v/>
      </c>
    </row>
    <row r="108" ht="15" customHeight="1" s="22">
      <c r="D108" s="38">
        <f>IFERROR(C108*INDEX(Products!$K:$K,MATCH(A108,Products!$A:$A,0)),"")</f>
        <v/>
      </c>
    </row>
    <row r="109" ht="15" customHeight="1" s="22">
      <c r="D109" s="38">
        <f>IFERROR(C109*INDEX(Products!$K:$K,MATCH(A109,Products!$A:$A,0)),"")</f>
        <v/>
      </c>
    </row>
    <row r="110" ht="15" customHeight="1" s="22">
      <c r="D110" s="38">
        <f>IFERROR(C110*INDEX(Products!$K:$K,MATCH(A110,Products!$A:$A,0)),"")</f>
        <v/>
      </c>
    </row>
    <row r="111" ht="15" customHeight="1" s="22">
      <c r="D111" s="38">
        <f>IFERROR(C111*INDEX(Products!$K:$K,MATCH(A111,Products!$A:$A,0)),"")</f>
        <v/>
      </c>
    </row>
    <row r="112" ht="15" customHeight="1" s="22">
      <c r="D112" s="38">
        <f>IFERROR(C112*INDEX(Products!$K:$K,MATCH(A112,Products!$A:$A,0)),"")</f>
        <v/>
      </c>
    </row>
    <row r="113" ht="15" customHeight="1" s="22">
      <c r="D113" s="38">
        <f>IFERROR(C113*INDEX(Products!$K:$K,MATCH(A113,Products!$A:$A,0)),"")</f>
        <v/>
      </c>
    </row>
    <row r="114" ht="15" customHeight="1" s="22">
      <c r="D114" s="38">
        <f>IFERROR(C114*INDEX(Products!$K:$K,MATCH(A114,Products!$A:$A,0)),"")</f>
        <v/>
      </c>
    </row>
    <row r="115" ht="15" customHeight="1" s="22">
      <c r="D115" s="38">
        <f>IFERROR(C115*INDEX(Products!$K:$K,MATCH(A115,Products!$A:$A,0)),"")</f>
        <v/>
      </c>
    </row>
    <row r="116" ht="15" customHeight="1" s="22">
      <c r="D116" s="38">
        <f>IFERROR(C116*INDEX(Products!$K:$K,MATCH(A116,Products!$A:$A,0)),"")</f>
        <v/>
      </c>
    </row>
    <row r="117" ht="15" customHeight="1" s="22">
      <c r="D117" s="38">
        <f>IFERROR(C117*INDEX(Products!$K:$K,MATCH(A117,Products!$A:$A,0)),"")</f>
        <v/>
      </c>
    </row>
    <row r="118" ht="15" customHeight="1" s="22">
      <c r="D118" s="38">
        <f>IFERROR(C118*INDEX(Products!$K:$K,MATCH(A118,Products!$A:$A,0)),"")</f>
        <v/>
      </c>
    </row>
    <row r="119" ht="15" customHeight="1" s="22">
      <c r="D119" s="38">
        <f>IFERROR(C119*INDEX(Products!$K:$K,MATCH(A119,Products!$A:$A,0)),"")</f>
        <v/>
      </c>
    </row>
    <row r="120" ht="15" customHeight="1" s="22">
      <c r="D120" s="38">
        <f>IFERROR(C120*INDEX(Products!$K:$K,MATCH(A120,Products!$A:$A,0)),"")</f>
        <v/>
      </c>
    </row>
    <row r="121" ht="15" customHeight="1" s="22">
      <c r="D121" s="38">
        <f>IFERROR(C121*INDEX(Products!$K:$K,MATCH(A121,Products!$A:$A,0)),"")</f>
        <v/>
      </c>
    </row>
    <row r="122" ht="15" customHeight="1" s="22">
      <c r="D122" s="38">
        <f>IFERROR(C122*INDEX(Products!$K:$K,MATCH(A122,Products!$A:$A,0)),"")</f>
        <v/>
      </c>
    </row>
    <row r="123" ht="15" customHeight="1" s="22">
      <c r="D123" s="38">
        <f>IFERROR(C123*INDEX(Products!$K:$K,MATCH(A123,Products!$A:$A,0)),"")</f>
        <v/>
      </c>
    </row>
    <row r="124" ht="15" customHeight="1" s="22">
      <c r="D124" s="38">
        <f>IFERROR(C124*INDEX(Products!$K:$K,MATCH(A124,Products!$A:$A,0)),"")</f>
        <v/>
      </c>
    </row>
    <row r="125" ht="15" customHeight="1" s="22">
      <c r="D125" s="38">
        <f>IFERROR(C125*INDEX(Products!$K:$K,MATCH(A125,Products!$A:$A,0)),"")</f>
        <v/>
      </c>
    </row>
    <row r="126" ht="15" customHeight="1" s="22">
      <c r="D126" s="38">
        <f>IFERROR(C126*INDEX(Products!$K:$K,MATCH(A126,Products!$A:$A,0)),"")</f>
        <v/>
      </c>
    </row>
    <row r="127" ht="15" customHeight="1" s="22">
      <c r="D127" s="38">
        <f>IFERROR(C127*INDEX(Products!$K:$K,MATCH(A127,Products!$A:$A,0)),"")</f>
        <v/>
      </c>
    </row>
    <row r="128" ht="15" customHeight="1" s="22">
      <c r="D128" s="38">
        <f>IFERROR(C128*INDEX(Products!$K:$K,MATCH(A128,Products!$A:$A,0)),"")</f>
        <v/>
      </c>
    </row>
    <row r="129" ht="15" customHeight="1" s="22">
      <c r="D129" s="38">
        <f>IFERROR(C129*INDEX(Products!$K:$K,MATCH(A129,Products!$A:$A,0)),"")</f>
        <v/>
      </c>
    </row>
    <row r="130" ht="15" customHeight="1" s="22">
      <c r="D130" s="38">
        <f>IFERROR(C130*INDEX(Products!$K:$K,MATCH(A130,Products!$A:$A,0)),"")</f>
        <v/>
      </c>
    </row>
    <row r="131" ht="15" customHeight="1" s="22">
      <c r="D131" s="38">
        <f>IFERROR(C131*INDEX(Products!$K:$K,MATCH(A131,Products!$A:$A,0)),"")</f>
        <v/>
      </c>
    </row>
    <row r="132" ht="15" customHeight="1" s="22">
      <c r="D132" s="38">
        <f>IFERROR(C132*INDEX(Products!$K:$K,MATCH(A132,Products!$A:$A,0)),"")</f>
        <v/>
      </c>
    </row>
    <row r="133" ht="15" customHeight="1" s="22">
      <c r="D133" s="38">
        <f>IFERROR(C133*INDEX(Products!$K:$K,MATCH(A133,Products!$A:$A,0)),"")</f>
        <v/>
      </c>
    </row>
    <row r="134" ht="15" customHeight="1" s="22">
      <c r="D134" s="38">
        <f>IFERROR(C134*INDEX(Products!$K:$K,MATCH(A134,Products!$A:$A,0)),"")</f>
        <v/>
      </c>
    </row>
    <row r="135" ht="15" customHeight="1" s="22">
      <c r="D135" s="38">
        <f>IFERROR(C135*INDEX(Products!$K:$K,MATCH(A135,Products!$A:$A,0)),"")</f>
        <v/>
      </c>
    </row>
    <row r="136" ht="15" customHeight="1" s="22">
      <c r="D136" s="38">
        <f>IFERROR(C136*INDEX(Products!$K:$K,MATCH(A136,Products!$A:$A,0)),"")</f>
        <v/>
      </c>
    </row>
    <row r="137" ht="15" customHeight="1" s="22">
      <c r="D137" s="38">
        <f>IFERROR(C137*INDEX(Products!$K:$K,MATCH(A137,Products!$A:$A,0)),"")</f>
        <v/>
      </c>
    </row>
    <row r="138" ht="15" customHeight="1" s="22">
      <c r="D138" s="38">
        <f>IFERROR(C138*INDEX(Products!$K:$K,MATCH(A138,Products!$A:$A,0)),"")</f>
        <v/>
      </c>
    </row>
    <row r="139" ht="15" customHeight="1" s="22">
      <c r="D139" s="38">
        <f>IFERROR(C139*INDEX(Products!$K:$K,MATCH(A139,Products!$A:$A,0)),"")</f>
        <v/>
      </c>
    </row>
    <row r="140" ht="15" customHeight="1" s="22">
      <c r="D140" s="38">
        <f>IFERROR(C140*INDEX(Products!$K:$K,MATCH(A140,Products!$A:$A,0)),"")</f>
        <v/>
      </c>
    </row>
    <row r="141" ht="15" customHeight="1" s="22">
      <c r="D141" s="38">
        <f>IFERROR(C141*INDEX(Products!$K:$K,MATCH(A141,Products!$A:$A,0)),"")</f>
        <v/>
      </c>
    </row>
    <row r="142" ht="15" customHeight="1" s="22">
      <c r="D142" s="38">
        <f>IFERROR(C142*INDEX(Products!$K:$K,MATCH(A142,Products!$A:$A,0)),"")</f>
        <v/>
      </c>
    </row>
    <row r="143" ht="15" customHeight="1" s="22">
      <c r="D143" s="38">
        <f>IFERROR(C143*INDEX(Products!$K:$K,MATCH(A143,Products!$A:$A,0)),"")</f>
        <v/>
      </c>
    </row>
    <row r="144" ht="15" customHeight="1" s="22">
      <c r="D144" s="38">
        <f>IFERROR(C144*INDEX(Products!$K:$K,MATCH(A144,Products!$A:$A,0)),"")</f>
        <v/>
      </c>
    </row>
    <row r="145" ht="15" customHeight="1" s="22">
      <c r="D145" s="38">
        <f>IFERROR(C145*INDEX(Products!$K:$K,MATCH(A145,Products!$A:$A,0)),"")</f>
        <v/>
      </c>
    </row>
    <row r="146" ht="15" customHeight="1" s="22">
      <c r="D146" s="38">
        <f>IFERROR(C146*INDEX(Products!$K:$K,MATCH(A146,Products!$A:$A,0)),"")</f>
        <v/>
      </c>
    </row>
    <row r="147" ht="15" customHeight="1" s="22">
      <c r="D147" s="38">
        <f>IFERROR(C147*INDEX(Products!$K:$K,MATCH(A147,Products!$A:$A,0)),"")</f>
        <v/>
      </c>
    </row>
    <row r="148" ht="15" customHeight="1" s="22">
      <c r="D148" s="38">
        <f>IFERROR(C148*INDEX(Products!$K:$K,MATCH(A148,Products!$A:$A,0)),"")</f>
        <v/>
      </c>
    </row>
    <row r="149" ht="15" customHeight="1" s="22">
      <c r="D149" s="38">
        <f>IFERROR(C149*INDEX(Products!$K:$K,MATCH(A149,Products!$A:$A,0)),"")</f>
        <v/>
      </c>
    </row>
    <row r="150" ht="15" customHeight="1" s="22">
      <c r="D150" s="38">
        <f>IFERROR(C150*INDEX(Products!$K:$K,MATCH(A150,Products!$A:$A,0)),"")</f>
        <v/>
      </c>
    </row>
    <row r="151" ht="15" customHeight="1" s="22">
      <c r="D151" s="38">
        <f>IFERROR(C151*INDEX(Products!$K:$K,MATCH(A151,Products!$A:$A,0)),"")</f>
        <v/>
      </c>
    </row>
    <row r="152" ht="15" customHeight="1" s="22">
      <c r="D152" s="38">
        <f>IFERROR(C152*INDEX(Products!$K:$K,MATCH(A152,Products!$A:$A,0)),"")</f>
        <v/>
      </c>
    </row>
    <row r="153" ht="15" customHeight="1" s="22">
      <c r="D153" s="38">
        <f>IFERROR(C153*INDEX(Products!$K:$K,MATCH(A153,Products!$A:$A,0)),"")</f>
        <v/>
      </c>
    </row>
    <row r="154" ht="15" customHeight="1" s="22">
      <c r="D154" s="38">
        <f>IFERROR(C154*INDEX(Products!$K:$K,MATCH(A154,Products!$A:$A,0)),"")</f>
        <v/>
      </c>
    </row>
    <row r="155" ht="15" customHeight="1" s="22">
      <c r="D155" s="38">
        <f>IFERROR(C155*INDEX(Products!$K:$K,MATCH(A155,Products!$A:$A,0)),"")</f>
        <v/>
      </c>
    </row>
    <row r="156" ht="15" customHeight="1" s="22">
      <c r="D156" s="38">
        <f>IFERROR(C156*INDEX(Products!$K:$K,MATCH(A156,Products!$A:$A,0)),"")</f>
        <v/>
      </c>
    </row>
    <row r="157" ht="15" customHeight="1" s="22">
      <c r="D157" s="38">
        <f>IFERROR(C157*INDEX(Products!$K:$K,MATCH(A157,Products!$A:$A,0)),"")</f>
        <v/>
      </c>
    </row>
    <row r="158" ht="15" customHeight="1" s="22">
      <c r="D158" s="38">
        <f>IFERROR(C158*INDEX(Products!$K:$K,MATCH(A158,Products!$A:$A,0)),"")</f>
        <v/>
      </c>
    </row>
    <row r="159" ht="15" customHeight="1" s="22">
      <c r="D159" s="38">
        <f>IFERROR(C159*INDEX(Products!$K:$K,MATCH(A159,Products!$A:$A,0)),"")</f>
        <v/>
      </c>
    </row>
    <row r="160" ht="15" customHeight="1" s="22">
      <c r="D160" s="38">
        <f>IFERROR(C160*INDEX(Products!$K:$K,MATCH(A160,Products!$A:$A,0)),"")</f>
        <v/>
      </c>
    </row>
    <row r="161" ht="15" customHeight="1" s="22">
      <c r="D161" s="38">
        <f>IFERROR(C161*INDEX(Products!$K:$K,MATCH(A161,Products!$A:$A,0)),"")</f>
        <v/>
      </c>
    </row>
    <row r="162" ht="15" customHeight="1" s="22">
      <c r="D162" s="38">
        <f>IFERROR(C162*INDEX(Products!$K:$K,MATCH(A162,Products!$A:$A,0)),"")</f>
        <v/>
      </c>
    </row>
    <row r="163" ht="15" customHeight="1" s="22">
      <c r="D163" s="38">
        <f>IFERROR(C163*INDEX(Products!$K:$K,MATCH(A163,Products!$A:$A,0)),"")</f>
        <v/>
      </c>
    </row>
    <row r="164" ht="15" customHeight="1" s="22">
      <c r="D164" s="38">
        <f>IFERROR(C164*INDEX(Products!$K:$K,MATCH(A164,Products!$A:$A,0)),"")</f>
        <v/>
      </c>
    </row>
    <row r="165" ht="15" customHeight="1" s="22">
      <c r="D165" s="38">
        <f>IFERROR(C165*INDEX(Products!$K:$K,MATCH(A165,Products!$A:$A,0)),"")</f>
        <v/>
      </c>
    </row>
    <row r="166" ht="15" customHeight="1" s="22">
      <c r="D166" s="38">
        <f>IFERROR(C166*INDEX(Products!$K:$K,MATCH(A166,Products!$A:$A,0)),"")</f>
        <v/>
      </c>
    </row>
    <row r="167" ht="15" customHeight="1" s="22">
      <c r="D167" s="38">
        <f>IFERROR(C167*INDEX(Products!$K:$K,MATCH(A167,Products!$A:$A,0)),"")</f>
        <v/>
      </c>
    </row>
    <row r="168" ht="15" customHeight="1" s="22">
      <c r="D168" s="38">
        <f>IFERROR(C168*INDEX(Products!$K:$K,MATCH(A168,Products!$A:$A,0)),"")</f>
        <v/>
      </c>
    </row>
    <row r="169" ht="15" customHeight="1" s="22">
      <c r="D169" s="38">
        <f>IFERROR(C169*INDEX(Products!$K:$K,MATCH(A169,Products!$A:$A,0)),"")</f>
        <v/>
      </c>
    </row>
    <row r="170" ht="15" customHeight="1" s="22">
      <c r="D170" s="38">
        <f>IFERROR(C170*INDEX(Products!$K:$K,MATCH(A170,Products!$A:$A,0)),"")</f>
        <v/>
      </c>
    </row>
    <row r="171" ht="15" customHeight="1" s="22">
      <c r="D171" s="38">
        <f>IFERROR(C171*INDEX(Products!$K:$K,MATCH(A171,Products!$A:$A,0)),"")</f>
        <v/>
      </c>
    </row>
    <row r="172" ht="15" customHeight="1" s="22">
      <c r="D172" s="38">
        <f>IFERROR(C172*INDEX(Products!$K:$K,MATCH(A172,Products!$A:$A,0)),"")</f>
        <v/>
      </c>
    </row>
    <row r="173" ht="15" customHeight="1" s="22">
      <c r="D173" s="38">
        <f>IFERROR(C173*INDEX(Products!$K:$K,MATCH(A173,Products!$A:$A,0)),"")</f>
        <v/>
      </c>
    </row>
    <row r="174" ht="15" customHeight="1" s="22">
      <c r="D174" s="38">
        <f>IFERROR(C174*INDEX(Products!$K:$K,MATCH(A174,Products!$A:$A,0)),"")</f>
        <v/>
      </c>
    </row>
    <row r="175" ht="15" customHeight="1" s="22">
      <c r="D175" s="38">
        <f>IFERROR(C175*INDEX(Products!$K:$K,MATCH(A175,Products!$A:$A,0)),"")</f>
        <v/>
      </c>
    </row>
    <row r="176" ht="15" customHeight="1" s="22">
      <c r="D176" s="38">
        <f>IFERROR(C176*INDEX(Products!$K:$K,MATCH(A176,Products!$A:$A,0)),"")</f>
        <v/>
      </c>
    </row>
    <row r="177" ht="15" customHeight="1" s="22">
      <c r="D177" s="38">
        <f>IFERROR(C177*INDEX(Products!$K:$K,MATCH(A177,Products!$A:$A,0)),"")</f>
        <v/>
      </c>
    </row>
    <row r="178" ht="15" customHeight="1" s="22">
      <c r="D178" s="38">
        <f>IFERROR(C178*INDEX(Products!$K:$K,MATCH(A178,Products!$A:$A,0)),"")</f>
        <v/>
      </c>
    </row>
    <row r="179" ht="15" customHeight="1" s="22">
      <c r="D179" s="38">
        <f>IFERROR(C179*INDEX(Products!$K:$K,MATCH(A179,Products!$A:$A,0)),"")</f>
        <v/>
      </c>
    </row>
    <row r="180" ht="15" customHeight="1" s="22">
      <c r="D180" s="38">
        <f>IFERROR(C180*INDEX(Products!$K:$K,MATCH(A180,Products!$A:$A,0)),"")</f>
        <v/>
      </c>
    </row>
    <row r="181" ht="15" customHeight="1" s="22">
      <c r="D181" s="38">
        <f>IFERROR(C181*INDEX(Products!$K:$K,MATCH(A181,Products!$A:$A,0)),"")</f>
        <v/>
      </c>
    </row>
    <row r="182" ht="15" customHeight="1" s="22">
      <c r="D182" s="38">
        <f>IFERROR(C182*INDEX(Products!$K:$K,MATCH(A182,Products!$A:$A,0)),"")</f>
        <v/>
      </c>
    </row>
    <row r="183" ht="15" customHeight="1" s="22">
      <c r="D183" s="38">
        <f>IFERROR(C183*INDEX(Products!$K:$K,MATCH(A183,Products!$A:$A,0)),"")</f>
        <v/>
      </c>
    </row>
    <row r="184" ht="15" customHeight="1" s="22">
      <c r="D184" s="38">
        <f>IFERROR(C184*INDEX(Products!$K:$K,MATCH(A184,Products!$A:$A,0)),"")</f>
        <v/>
      </c>
    </row>
    <row r="185" ht="15" customHeight="1" s="22">
      <c r="D185" s="38">
        <f>IFERROR(C185*INDEX(Products!$K:$K,MATCH(A185,Products!$A:$A,0)),"")</f>
        <v/>
      </c>
    </row>
    <row r="186" ht="15" customHeight="1" s="22">
      <c r="D186" s="38">
        <f>IFERROR(C186*INDEX(Products!$K:$K,MATCH(A186,Products!$A:$A,0)),"")</f>
        <v/>
      </c>
    </row>
    <row r="187" ht="15" customHeight="1" s="22">
      <c r="D187" s="38">
        <f>IFERROR(C187*INDEX(Products!$K:$K,MATCH(A187,Products!$A:$A,0)),"")</f>
        <v/>
      </c>
    </row>
    <row r="188" ht="15" customHeight="1" s="22">
      <c r="D188" s="38">
        <f>IFERROR(C188*INDEX(Products!$K:$K,MATCH(A188,Products!$A:$A,0)),"")</f>
        <v/>
      </c>
    </row>
    <row r="189" ht="15" customHeight="1" s="22">
      <c r="D189" s="38">
        <f>IFERROR(C189*INDEX(Products!$K:$K,MATCH(A189,Products!$A:$A,0)),"")</f>
        <v/>
      </c>
    </row>
    <row r="190" ht="15" customHeight="1" s="22">
      <c r="D190" s="38">
        <f>IFERROR(C190*INDEX(Products!$K:$K,MATCH(A190,Products!$A:$A,0)),"")</f>
        <v/>
      </c>
    </row>
    <row r="191" ht="15" customHeight="1" s="22">
      <c r="D191" s="38">
        <f>IFERROR(C191*INDEX(Products!$K:$K,MATCH(A191,Products!$A:$A,0)),"")</f>
        <v/>
      </c>
    </row>
    <row r="192" ht="15" customHeight="1" s="22">
      <c r="D192" s="38">
        <f>IFERROR(C192*INDEX(Products!$K:$K,MATCH(A192,Products!$A:$A,0)),"")</f>
        <v/>
      </c>
    </row>
    <row r="193" ht="15" customHeight="1" s="22">
      <c r="D193" s="38">
        <f>IFERROR(C193*INDEX(Products!$K:$K,MATCH(A193,Products!$A:$A,0)),"")</f>
        <v/>
      </c>
    </row>
    <row r="194" ht="15" customHeight="1" s="22">
      <c r="D194" s="38">
        <f>IFERROR(C194*INDEX(Products!$K:$K,MATCH(A194,Products!$A:$A,0)),"")</f>
        <v/>
      </c>
    </row>
    <row r="195" ht="15" customHeight="1" s="22">
      <c r="D195" s="38">
        <f>IFERROR(C195*INDEX(Products!$K:$K,MATCH(A195,Products!$A:$A,0)),"")</f>
        <v/>
      </c>
    </row>
    <row r="196" ht="15" customHeight="1" s="22">
      <c r="D196" s="38">
        <f>IFERROR(C196*INDEX(Products!$K:$K,MATCH(A196,Products!$A:$A,0)),"")</f>
        <v/>
      </c>
    </row>
    <row r="197" ht="15" customHeight="1" s="22">
      <c r="D197" s="38">
        <f>IFERROR(C197*INDEX(Products!$K:$K,MATCH(A197,Products!$A:$A,0)),"")</f>
        <v/>
      </c>
    </row>
    <row r="198" ht="15" customHeight="1" s="22">
      <c r="D198" s="38">
        <f>IFERROR(C198*INDEX(Products!$K:$K,MATCH(A198,Products!$A:$A,0)),"")</f>
        <v/>
      </c>
    </row>
    <row r="199" ht="15" customHeight="1" s="22">
      <c r="D199" s="38">
        <f>IFERROR(C199*INDEX(Products!$K:$K,MATCH(A199,Products!$A:$A,0)),"")</f>
        <v/>
      </c>
    </row>
    <row r="200" ht="15" customHeight="1" s="22">
      <c r="D200" s="38">
        <f>IFERROR(C200*INDEX(Products!$K:$K,MATCH(A200,Products!$A:$A,0)),"")</f>
        <v/>
      </c>
    </row>
    <row r="201" ht="15" customHeight="1" s="22">
      <c r="D201" s="38">
        <f>IFERROR(C201*INDEX(Products!$K:$K,MATCH(A201,Products!$A:$A,0)),"")</f>
        <v/>
      </c>
    </row>
    <row r="202" ht="15" customHeight="1" s="22">
      <c r="D202" s="38">
        <f>IFERROR(C202*INDEX(Products!$K:$K,MATCH(A202,Products!$A:$A,0)),"")</f>
        <v/>
      </c>
    </row>
    <row r="203" ht="15" customHeight="1" s="22">
      <c r="D203" s="38">
        <f>IFERROR(C203*INDEX(Products!$K:$K,MATCH(A203,Products!$A:$A,0)),"")</f>
        <v/>
      </c>
    </row>
    <row r="204" ht="15" customHeight="1" s="22">
      <c r="D204" s="38">
        <f>IFERROR(C204*INDEX(Products!$K:$K,MATCH(A204,Products!$A:$A,0)),"")</f>
        <v/>
      </c>
    </row>
    <row r="205" ht="15" customHeight="1" s="22">
      <c r="D205" s="38">
        <f>IFERROR(C205*INDEX(Products!$K:$K,MATCH(A205,Products!$A:$A,0)),"")</f>
        <v/>
      </c>
    </row>
    <row r="206" ht="15" customHeight="1" s="22">
      <c r="D206" s="38">
        <f>IFERROR(C206*INDEX(Products!$K:$K,MATCH(A206,Products!$A:$A,0)),"")</f>
        <v/>
      </c>
    </row>
    <row r="207" ht="15" customHeight="1" s="22">
      <c r="D207" s="38">
        <f>IFERROR(C207*INDEX(Products!$K:$K,MATCH(A207,Products!$A:$A,0)),"")</f>
        <v/>
      </c>
    </row>
    <row r="208" ht="15" customHeight="1" s="22">
      <c r="D208" s="38">
        <f>IFERROR(C208*INDEX(Products!$K:$K,MATCH(A208,Products!$A:$A,0)),"")</f>
        <v/>
      </c>
    </row>
    <row r="209" ht="15" customHeight="1" s="22">
      <c r="D209" s="38">
        <f>IFERROR(C209*INDEX(Products!$K:$K,MATCH(A209,Products!$A:$A,0)),"")</f>
        <v/>
      </c>
    </row>
    <row r="210" ht="15" customHeight="1" s="22">
      <c r="D210" s="38">
        <f>IFERROR(C210*INDEX(Products!$K:$K,MATCH(A210,Products!$A:$A,0)),"")</f>
        <v/>
      </c>
    </row>
    <row r="211" ht="15" customHeight="1" s="22">
      <c r="D211" s="38">
        <f>IFERROR(C211*INDEX(Products!$K:$K,MATCH(A211,Products!$A:$A,0)),"")</f>
        <v/>
      </c>
    </row>
    <row r="212" ht="15" customHeight="1" s="22">
      <c r="D212" s="38">
        <f>IFERROR(C212*INDEX(Products!$K:$K,MATCH(A212,Products!$A:$A,0)),"")</f>
        <v/>
      </c>
    </row>
    <row r="213" ht="15" customHeight="1" s="22">
      <c r="D213" s="38">
        <f>IFERROR(C213*INDEX(Products!$K:$K,MATCH(A213,Products!$A:$A,0)),"")</f>
        <v/>
      </c>
    </row>
    <row r="214" ht="15" customHeight="1" s="22">
      <c r="D214" s="38">
        <f>IFERROR(C214*INDEX(Products!$K:$K,MATCH(A214,Products!$A:$A,0)),"")</f>
        <v/>
      </c>
    </row>
    <row r="215" ht="15" customHeight="1" s="22">
      <c r="D215" s="38">
        <f>IFERROR(C215*INDEX(Products!$K:$K,MATCH(A215,Products!$A:$A,0)),"")</f>
        <v/>
      </c>
    </row>
    <row r="216" ht="15" customHeight="1" s="22">
      <c r="D216" s="38">
        <f>IFERROR(C216*INDEX(Products!$K:$K,MATCH(A216,Products!$A:$A,0)),"")</f>
        <v/>
      </c>
    </row>
    <row r="217" ht="15" customHeight="1" s="22">
      <c r="D217" s="38">
        <f>IFERROR(C217*INDEX(Products!$K:$K,MATCH(A217,Products!$A:$A,0)),"")</f>
        <v/>
      </c>
    </row>
    <row r="218" ht="15" customHeight="1" s="22">
      <c r="D218" s="38">
        <f>IFERROR(C218*INDEX(Products!$K:$K,MATCH(A218,Products!$A:$A,0)),"")</f>
        <v/>
      </c>
    </row>
    <row r="219" ht="15" customHeight="1" s="22">
      <c r="D219" s="38">
        <f>IFERROR(C219*INDEX(Products!$K:$K,MATCH(A219,Products!$A:$A,0)),"")</f>
        <v/>
      </c>
    </row>
    <row r="220" ht="15" customHeight="1" s="22">
      <c r="D220" s="38">
        <f>IFERROR(C220*INDEX(Products!$K:$K,MATCH(A220,Products!$A:$A,0)),"")</f>
        <v/>
      </c>
    </row>
    <row r="221" ht="15" customHeight="1" s="22">
      <c r="D221" s="38">
        <f>IFERROR(C221*INDEX(Products!$K:$K,MATCH(A221,Products!$A:$A,0)),"")</f>
        <v/>
      </c>
    </row>
    <row r="222" ht="15" customHeight="1" s="22">
      <c r="D222" s="38">
        <f>IFERROR(C222*INDEX(Products!$K:$K,MATCH(A222,Products!$A:$A,0)),"")</f>
        <v/>
      </c>
    </row>
    <row r="223" ht="15" customHeight="1" s="22">
      <c r="D223" s="38">
        <f>IFERROR(C223*INDEX(Products!$K:$K,MATCH(A223,Products!$A:$A,0)),"")</f>
        <v/>
      </c>
    </row>
    <row r="224" ht="15" customHeight="1" s="22">
      <c r="D224" s="38">
        <f>IFERROR(C224*INDEX(Products!$K:$K,MATCH(A224,Products!$A:$A,0)),"")</f>
        <v/>
      </c>
    </row>
    <row r="225" ht="15" customHeight="1" s="22">
      <c r="D225" s="38">
        <f>IFERROR(C225*INDEX(Products!$K:$K,MATCH(A225,Products!$A:$A,0)),"")</f>
        <v/>
      </c>
    </row>
    <row r="226" ht="15" customHeight="1" s="22">
      <c r="D226" s="38">
        <f>IFERROR(C226*INDEX(Products!$K:$K,MATCH(A226,Products!$A:$A,0)),"")</f>
        <v/>
      </c>
    </row>
    <row r="227" ht="15" customHeight="1" s="22">
      <c r="D227" s="38">
        <f>IFERROR(C227*INDEX(Products!$K:$K,MATCH(A227,Products!$A:$A,0)),"")</f>
        <v/>
      </c>
    </row>
    <row r="228" ht="15" customHeight="1" s="22">
      <c r="D228" s="38">
        <f>IFERROR(C228*INDEX(Products!$K:$K,MATCH(A228,Products!$A:$A,0)),"")</f>
        <v/>
      </c>
    </row>
    <row r="229" ht="15" customHeight="1" s="22">
      <c r="D229" s="38">
        <f>IFERROR(C229*INDEX(Products!$K:$K,MATCH(A229,Products!$A:$A,0)),"")</f>
        <v/>
      </c>
    </row>
    <row r="230" ht="15" customHeight="1" s="22">
      <c r="D230" s="38">
        <f>IFERROR(C230*INDEX(Products!$K:$K,MATCH(A230,Products!$A:$A,0)),"")</f>
        <v/>
      </c>
    </row>
    <row r="231" ht="15" customHeight="1" s="22">
      <c r="D231" s="38">
        <f>IFERROR(C231*INDEX(Products!$K:$K,MATCH(A231,Products!$A:$A,0)),"")</f>
        <v/>
      </c>
    </row>
    <row r="232" ht="15" customHeight="1" s="22">
      <c r="D232" s="38">
        <f>IFERROR(C232*INDEX(Products!$K:$K,MATCH(A232,Products!$A:$A,0)),"")</f>
        <v/>
      </c>
    </row>
    <row r="233" ht="15" customHeight="1" s="22">
      <c r="D233" s="38">
        <f>IFERROR(C233*INDEX(Products!$K:$K,MATCH(A233,Products!$A:$A,0)),"")</f>
        <v/>
      </c>
    </row>
    <row r="234" ht="15" customHeight="1" s="22">
      <c r="D234" s="38">
        <f>IFERROR(C234*INDEX(Products!$K:$K,MATCH(A234,Products!$A:$A,0)),"")</f>
        <v/>
      </c>
    </row>
    <row r="235" ht="15" customHeight="1" s="22">
      <c r="D235" s="38">
        <f>IFERROR(C235*INDEX(Products!$K:$K,MATCH(A235,Products!$A:$A,0)),"")</f>
        <v/>
      </c>
    </row>
    <row r="236" ht="15" customHeight="1" s="22">
      <c r="D236" s="38">
        <f>IFERROR(C236*INDEX(Products!$K:$K,MATCH(A236,Products!$A:$A,0)),"")</f>
        <v/>
      </c>
    </row>
    <row r="237" ht="15" customHeight="1" s="22">
      <c r="D237" s="38">
        <f>IFERROR(C237*INDEX(Products!$K:$K,MATCH(A237,Products!$A:$A,0)),"")</f>
        <v/>
      </c>
    </row>
    <row r="238" ht="15" customHeight="1" s="22">
      <c r="D238" s="38">
        <f>IFERROR(C238*INDEX(Products!$K:$K,MATCH(A238,Products!$A:$A,0)),"")</f>
        <v/>
      </c>
    </row>
    <row r="239" ht="15" customHeight="1" s="22">
      <c r="D239" s="38">
        <f>IFERROR(C239*INDEX(Products!$K:$K,MATCH(A239,Products!$A:$A,0)),"")</f>
        <v/>
      </c>
    </row>
    <row r="240" ht="15" customHeight="1" s="22">
      <c r="D240" s="38">
        <f>IFERROR(C240*INDEX(Products!$K:$K,MATCH(A240,Products!$A:$A,0)),"")</f>
        <v/>
      </c>
    </row>
    <row r="241" ht="15" customHeight="1" s="22">
      <c r="D241" s="38">
        <f>IFERROR(C241*INDEX(Products!$K:$K,MATCH(A241,Products!$A:$A,0)),"")</f>
        <v/>
      </c>
    </row>
    <row r="242" ht="15" customHeight="1" s="22">
      <c r="D242" s="38">
        <f>IFERROR(C242*INDEX(Products!$K:$K,MATCH(A242,Products!$A:$A,0)),"")</f>
        <v/>
      </c>
    </row>
    <row r="243" ht="15" customHeight="1" s="22">
      <c r="D243" s="38">
        <f>IFERROR(C243*INDEX(Products!$K:$K,MATCH(A243,Products!$A:$A,0)),"")</f>
        <v/>
      </c>
    </row>
    <row r="244" ht="15" customHeight="1" s="22">
      <c r="D244" s="38">
        <f>IFERROR(C244*INDEX(Products!$K:$K,MATCH(A244,Products!$A:$A,0)),"")</f>
        <v/>
      </c>
    </row>
    <row r="245" ht="15" customHeight="1" s="22">
      <c r="D245" s="38">
        <f>IFERROR(C245*INDEX(Products!$K:$K,MATCH(A245,Products!$A:$A,0)),"")</f>
        <v/>
      </c>
    </row>
    <row r="246" ht="15" customHeight="1" s="22">
      <c r="D246" s="38">
        <f>IFERROR(C246*INDEX(Products!$K:$K,MATCH(A246,Products!$A:$A,0)),"")</f>
        <v/>
      </c>
    </row>
    <row r="247" ht="15" customHeight="1" s="22">
      <c r="D247" s="38">
        <f>IFERROR(C247*INDEX(Products!$K:$K,MATCH(A247,Products!$A:$A,0)),"")</f>
        <v/>
      </c>
    </row>
    <row r="248" ht="15" customHeight="1" s="22">
      <c r="D248" s="38">
        <f>IFERROR(C248*INDEX(Products!$K:$K,MATCH(A248,Products!$A:$A,0)),"")</f>
        <v/>
      </c>
    </row>
    <row r="249" ht="15" customHeight="1" s="22">
      <c r="D249" s="38">
        <f>IFERROR(C249*INDEX(Products!$K:$K,MATCH(A249,Products!$A:$A,0)),"")</f>
        <v/>
      </c>
    </row>
    <row r="250" ht="15" customHeight="1" s="22">
      <c r="D250" s="38">
        <f>IFERROR(C250*INDEX(Products!$K:$K,MATCH(A250,Products!$A:$A,0)),"")</f>
        <v/>
      </c>
    </row>
    <row r="251" ht="15" customHeight="1" s="22">
      <c r="D251" s="38">
        <f>IFERROR(C251*INDEX(Products!$K:$K,MATCH(A251,Products!$A:$A,0)),"")</f>
        <v/>
      </c>
    </row>
    <row r="252" ht="15" customHeight="1" s="22">
      <c r="D252" s="38">
        <f>IFERROR(C252*INDEX(Products!$K:$K,MATCH(A252,Products!$A:$A,0)),"")</f>
        <v/>
      </c>
    </row>
    <row r="253" ht="15" customHeight="1" s="22">
      <c r="D253" s="38">
        <f>IFERROR(C253*INDEX(Products!$K:$K,MATCH(A253,Products!$A:$A,0)),"")</f>
        <v/>
      </c>
    </row>
    <row r="254" ht="15" customHeight="1" s="22">
      <c r="D254" s="38">
        <f>IFERROR(C254*INDEX(Products!$K:$K,MATCH(A254,Products!$A:$A,0)),"")</f>
        <v/>
      </c>
    </row>
    <row r="255" ht="15" customHeight="1" s="22">
      <c r="D255" s="38">
        <f>IFERROR(C255*INDEX(Products!$K:$K,MATCH(A255,Products!$A:$A,0)),"")</f>
        <v/>
      </c>
    </row>
    <row r="256" ht="15" customHeight="1" s="22">
      <c r="D256" s="38">
        <f>IFERROR(C256*INDEX(Products!$K:$K,MATCH(A256,Products!$A:$A,0)),"")</f>
        <v/>
      </c>
    </row>
    <row r="257" ht="15" customHeight="1" s="22">
      <c r="D257" s="38">
        <f>IFERROR(C257*INDEX(Products!$K:$K,MATCH(A257,Products!$A:$A,0)),"")</f>
        <v/>
      </c>
    </row>
    <row r="258" ht="15" customHeight="1" s="22">
      <c r="D258" s="38">
        <f>IFERROR(C258*INDEX(Products!$K:$K,MATCH(A258,Products!$A:$A,0)),"")</f>
        <v/>
      </c>
    </row>
    <row r="259" ht="15" customHeight="1" s="22">
      <c r="D259" s="38">
        <f>IFERROR(C259*INDEX(Products!$K:$K,MATCH(A259,Products!$A:$A,0)),"")</f>
        <v/>
      </c>
    </row>
    <row r="260" ht="15" customHeight="1" s="22">
      <c r="D260" s="38">
        <f>IFERROR(C260*INDEX(Products!$K:$K,MATCH(A260,Products!$A:$A,0)),"")</f>
        <v/>
      </c>
    </row>
    <row r="261" ht="15" customHeight="1" s="22">
      <c r="D261" s="38">
        <f>IFERROR(C261*INDEX(Products!$K:$K,MATCH(A261,Products!$A:$A,0)),"")</f>
        <v/>
      </c>
    </row>
    <row r="262" ht="15" customHeight="1" s="22">
      <c r="D262" s="38">
        <f>IFERROR(C262*INDEX(Products!$K:$K,MATCH(A262,Products!$A:$A,0)),"")</f>
        <v/>
      </c>
    </row>
    <row r="263" ht="15" customHeight="1" s="22">
      <c r="D263" s="38">
        <f>IFERROR(C263*INDEX(Products!$K:$K,MATCH(A263,Products!$A:$A,0)),"")</f>
        <v/>
      </c>
    </row>
    <row r="264" ht="15" customHeight="1" s="22">
      <c r="D264" s="38">
        <f>IFERROR(C264*INDEX(Products!$K:$K,MATCH(A264,Products!$A:$A,0)),"")</f>
        <v/>
      </c>
    </row>
    <row r="265" ht="15" customHeight="1" s="22">
      <c r="D265" s="38">
        <f>IFERROR(C265*INDEX(Products!$K:$K,MATCH(A265,Products!$A:$A,0)),"")</f>
        <v/>
      </c>
    </row>
    <row r="266" ht="15" customHeight="1" s="22">
      <c r="D266" s="38">
        <f>IFERROR(C266*INDEX(Products!$K:$K,MATCH(A266,Products!$A:$A,0)),"")</f>
        <v/>
      </c>
    </row>
    <row r="267" ht="15" customHeight="1" s="22">
      <c r="D267" s="38">
        <f>IFERROR(C267*INDEX(Products!$K:$K,MATCH(A267,Products!$A:$A,0)),"")</f>
        <v/>
      </c>
    </row>
    <row r="268" ht="15" customHeight="1" s="22">
      <c r="D268" s="38">
        <f>IFERROR(C268*INDEX(Products!$K:$K,MATCH(A268,Products!$A:$A,0)),"")</f>
        <v/>
      </c>
    </row>
    <row r="269" ht="15" customHeight="1" s="22">
      <c r="D269" s="38">
        <f>IFERROR(C269*INDEX(Products!$K:$K,MATCH(A269,Products!$A:$A,0)),"")</f>
        <v/>
      </c>
    </row>
    <row r="270" ht="15" customHeight="1" s="22">
      <c r="D270" s="38">
        <f>IFERROR(C270*INDEX(Products!$K:$K,MATCH(A270,Products!$A:$A,0)),"")</f>
        <v/>
      </c>
    </row>
    <row r="271" ht="15" customHeight="1" s="22">
      <c r="D271" s="38">
        <f>IFERROR(C271*INDEX(Products!$K:$K,MATCH(A271,Products!$A:$A,0)),"")</f>
        <v/>
      </c>
    </row>
    <row r="272" ht="15" customHeight="1" s="22">
      <c r="D272" s="38">
        <f>IFERROR(C272*INDEX(Products!$K:$K,MATCH(A272,Products!$A:$A,0)),"")</f>
        <v/>
      </c>
    </row>
    <row r="273" ht="15" customHeight="1" s="22">
      <c r="D273" s="38">
        <f>IFERROR(C273*INDEX(Products!$K:$K,MATCH(A273,Products!$A:$A,0)),"")</f>
        <v/>
      </c>
    </row>
    <row r="274" ht="15" customHeight="1" s="22">
      <c r="D274" s="38">
        <f>IFERROR(C274*INDEX(Products!$K:$K,MATCH(A274,Products!$A:$A,0)),"")</f>
        <v/>
      </c>
    </row>
    <row r="275" ht="15" customHeight="1" s="22">
      <c r="D275" s="38">
        <f>IFERROR(C275*INDEX(Products!$K:$K,MATCH(A275,Products!$A:$A,0)),"")</f>
        <v/>
      </c>
    </row>
    <row r="276" ht="15" customHeight="1" s="22">
      <c r="D276" s="38">
        <f>IFERROR(C276*INDEX(Products!$K:$K,MATCH(A276,Products!$A:$A,0)),"")</f>
        <v/>
      </c>
    </row>
    <row r="277" ht="15" customHeight="1" s="22">
      <c r="D277" s="38">
        <f>IFERROR(C277*INDEX(Products!$K:$K,MATCH(A277,Products!$A:$A,0)),"")</f>
        <v/>
      </c>
    </row>
    <row r="278" ht="15" customHeight="1" s="22">
      <c r="D278" s="38">
        <f>IFERROR(C278*INDEX(Products!$K:$K,MATCH(A278,Products!$A:$A,0)),"")</f>
        <v/>
      </c>
    </row>
    <row r="279" ht="15" customHeight="1" s="22">
      <c r="D279" s="38">
        <f>IFERROR(C279*INDEX(Products!$K:$K,MATCH(A279,Products!$A:$A,0)),"")</f>
        <v/>
      </c>
    </row>
    <row r="280" ht="15" customHeight="1" s="22">
      <c r="D280" s="38">
        <f>IFERROR(C280*INDEX(Products!$K:$K,MATCH(A280,Products!$A:$A,0)),"")</f>
        <v/>
      </c>
    </row>
    <row r="281" ht="15" customHeight="1" s="22">
      <c r="D281" s="38">
        <f>IFERROR(C281*INDEX(Products!$K:$K,MATCH(A281,Products!$A:$A,0)),"")</f>
        <v/>
      </c>
    </row>
    <row r="282" ht="15" customHeight="1" s="22">
      <c r="D282" s="38">
        <f>IFERROR(C282*INDEX(Products!$K:$K,MATCH(A282,Products!$A:$A,0)),"")</f>
        <v/>
      </c>
    </row>
    <row r="283" ht="15" customHeight="1" s="22">
      <c r="D283" s="38">
        <f>IFERROR(C283*INDEX(Products!$K:$K,MATCH(A283,Products!$A:$A,0)),"")</f>
        <v/>
      </c>
    </row>
    <row r="284" ht="15" customHeight="1" s="22">
      <c r="D284" s="38">
        <f>IFERROR(C284*INDEX(Products!$K:$K,MATCH(A284,Products!$A:$A,0)),"")</f>
        <v/>
      </c>
    </row>
    <row r="285" ht="15" customHeight="1" s="22">
      <c r="D285" s="38">
        <f>IFERROR(C285*INDEX(Products!$K:$K,MATCH(A285,Products!$A:$A,0)),"")</f>
        <v/>
      </c>
    </row>
    <row r="286" ht="15" customHeight="1" s="22">
      <c r="D286" s="38">
        <f>IFERROR(C286*INDEX(Products!$K:$K,MATCH(A286,Products!$A:$A,0)),"")</f>
        <v/>
      </c>
    </row>
    <row r="287" ht="15" customHeight="1" s="22">
      <c r="D287" s="38">
        <f>IFERROR(C287*INDEX(Products!$K:$K,MATCH(A287,Products!$A:$A,0)),"")</f>
        <v/>
      </c>
    </row>
    <row r="288" ht="15" customHeight="1" s="22">
      <c r="D288" s="38">
        <f>IFERROR(C288*INDEX(Products!$K:$K,MATCH(A288,Products!$A:$A,0)),"")</f>
        <v/>
      </c>
    </row>
    <row r="289" ht="15" customHeight="1" s="22">
      <c r="D289" s="38">
        <f>IFERROR(C289*INDEX(Products!$K:$K,MATCH(A289,Products!$A:$A,0)),"")</f>
        <v/>
      </c>
    </row>
    <row r="290" ht="15" customHeight="1" s="22">
      <c r="D290" s="38">
        <f>IFERROR(C290*INDEX(Products!$K:$K,MATCH(A290,Products!$A:$A,0)),"")</f>
        <v/>
      </c>
    </row>
    <row r="291" ht="15" customHeight="1" s="22">
      <c r="D291" s="38">
        <f>IFERROR(C291*INDEX(Products!$K:$K,MATCH(A291,Products!$A:$A,0)),"")</f>
        <v/>
      </c>
    </row>
    <row r="292" ht="15" customHeight="1" s="22">
      <c r="D292" s="38">
        <f>IFERROR(C292*INDEX(Products!$K:$K,MATCH(A292,Products!$A:$A,0)),"")</f>
        <v/>
      </c>
    </row>
    <row r="293" ht="15" customHeight="1" s="22">
      <c r="D293" s="38">
        <f>IFERROR(C293*INDEX(Products!$K:$K,MATCH(A293,Products!$A:$A,0)),"")</f>
        <v/>
      </c>
    </row>
    <row r="294" ht="15" customHeight="1" s="22">
      <c r="D294" s="38">
        <f>IFERROR(C294*INDEX(Products!$K:$K,MATCH(A294,Products!$A:$A,0)),"")</f>
        <v/>
      </c>
    </row>
    <row r="295" ht="15" customHeight="1" s="22">
      <c r="D295" s="38">
        <f>IFERROR(C295*INDEX(Products!$K:$K,MATCH(A295,Products!$A:$A,0)),"")</f>
        <v/>
      </c>
    </row>
    <row r="296" ht="15" customHeight="1" s="22">
      <c r="D296" s="38">
        <f>IFERROR(C296*INDEX(Products!$K:$K,MATCH(A296,Products!$A:$A,0)),"")</f>
        <v/>
      </c>
    </row>
    <row r="297" ht="15" customHeight="1" s="22">
      <c r="D297" s="38">
        <f>IFERROR(C297*INDEX(Products!$K:$K,MATCH(A297,Products!$A:$A,0)),"")</f>
        <v/>
      </c>
    </row>
    <row r="298" ht="15" customHeight="1" s="22">
      <c r="D298" s="38">
        <f>IFERROR(C298*INDEX(Products!$K:$K,MATCH(A298,Products!$A:$A,0)),"")</f>
        <v/>
      </c>
    </row>
    <row r="299" ht="15" customHeight="1" s="22">
      <c r="D299" s="38">
        <f>IFERROR(C299*INDEX(Products!$K:$K,MATCH(A299,Products!$A:$A,0)),"")</f>
        <v/>
      </c>
    </row>
    <row r="300" ht="15" customHeight="1" s="22">
      <c r="D300" s="38">
        <f>IFERROR(C300*INDEX(Products!$K:$K,MATCH(A300,Products!$A:$A,0)),"")</f>
        <v/>
      </c>
    </row>
    <row r="301" ht="15" customHeight="1" s="22">
      <c r="D301" s="38">
        <f>IFERROR(C301*INDEX(Products!$K:$K,MATCH(A301,Products!$A:$A,0)),"")</f>
        <v/>
      </c>
    </row>
    <row r="302" ht="15" customHeight="1" s="22">
      <c r="D302" s="38">
        <f>IFERROR(C302*INDEX(Products!$K:$K,MATCH(A302,Products!$A:$A,0)),"")</f>
        <v/>
      </c>
    </row>
    <row r="303" ht="15" customHeight="1" s="22">
      <c r="D303" s="38">
        <f>IFERROR(C303*INDEX(Products!$K:$K,MATCH(A303,Products!$A:$A,0)),"")</f>
        <v/>
      </c>
    </row>
    <row r="304" ht="15" customHeight="1" s="22">
      <c r="D304" s="38">
        <f>IFERROR(C304*INDEX(Products!$K:$K,MATCH(A304,Products!$A:$A,0)),"")</f>
        <v/>
      </c>
    </row>
    <row r="305" ht="15" customHeight="1" s="22">
      <c r="D305" s="38">
        <f>IFERROR(C305*INDEX(Products!$K:$K,MATCH(A305,Products!$A:$A,0)),"")</f>
        <v/>
      </c>
    </row>
    <row r="306" ht="15" customHeight="1" s="22">
      <c r="D306" s="38">
        <f>IFERROR(C306*INDEX(Products!$K:$K,MATCH(A306,Products!$A:$A,0)),"")</f>
        <v/>
      </c>
    </row>
    <row r="307" ht="15" customHeight="1" s="22">
      <c r="D307" s="38">
        <f>IFERROR(C307*INDEX(Products!$K:$K,MATCH(A307,Products!$A:$A,0)),"")</f>
        <v/>
      </c>
    </row>
    <row r="308" ht="15" customHeight="1" s="22">
      <c r="D308" s="38">
        <f>IFERROR(C308*INDEX(Products!$K:$K,MATCH(A308,Products!$A:$A,0)),"")</f>
        <v/>
      </c>
    </row>
    <row r="309" ht="15" customHeight="1" s="22">
      <c r="D309" s="38">
        <f>IFERROR(C309*INDEX(Products!$K:$K,MATCH(A309,Products!$A:$A,0)),"")</f>
        <v/>
      </c>
    </row>
    <row r="310" ht="15" customHeight="1" s="22">
      <c r="D310" s="38">
        <f>IFERROR(C310*INDEX(Products!$K:$K,MATCH(A310,Products!$A:$A,0)),"")</f>
        <v/>
      </c>
    </row>
    <row r="311" ht="15" customHeight="1" s="22">
      <c r="D311" s="38">
        <f>IFERROR(C311*INDEX(Products!$K:$K,MATCH(A311,Products!$A:$A,0)),"")</f>
        <v/>
      </c>
    </row>
    <row r="312" ht="15" customHeight="1" s="22">
      <c r="D312" s="38">
        <f>IFERROR(C312*INDEX(Products!$K:$K,MATCH(A312,Products!$A:$A,0)),"")</f>
        <v/>
      </c>
    </row>
    <row r="313" ht="15" customHeight="1" s="22">
      <c r="D313" s="38">
        <f>IFERROR(C313*INDEX(Products!$K:$K,MATCH(A313,Products!$A:$A,0)),"")</f>
        <v/>
      </c>
    </row>
    <row r="314" ht="15" customHeight="1" s="22">
      <c r="D314" s="38">
        <f>IFERROR(C314*INDEX(Products!$K:$K,MATCH(A314,Products!$A:$A,0)),"")</f>
        <v/>
      </c>
    </row>
    <row r="315" ht="15" customHeight="1" s="22">
      <c r="D315" s="38">
        <f>IFERROR(C315*INDEX(Products!$K:$K,MATCH(A315,Products!$A:$A,0)),"")</f>
        <v/>
      </c>
    </row>
    <row r="316" ht="15" customHeight="1" s="22">
      <c r="D316" s="38">
        <f>IFERROR(C316*INDEX(Products!$K:$K,MATCH(A316,Products!$A:$A,0)),"")</f>
        <v/>
      </c>
    </row>
    <row r="317" ht="15" customHeight="1" s="22">
      <c r="D317" s="38">
        <f>IFERROR(C317*INDEX(Products!$K:$K,MATCH(A317,Products!$A:$A,0)),"")</f>
        <v/>
      </c>
    </row>
    <row r="318" ht="15" customHeight="1" s="22">
      <c r="D318" s="38">
        <f>IFERROR(C318*INDEX(Products!$K:$K,MATCH(A318,Products!$A:$A,0)),"")</f>
        <v/>
      </c>
    </row>
    <row r="319" ht="15" customHeight="1" s="22">
      <c r="D319" s="38">
        <f>IFERROR(C319*INDEX(Products!$K:$K,MATCH(A319,Products!$A:$A,0)),"")</f>
        <v/>
      </c>
    </row>
    <row r="320" ht="15" customHeight="1" s="22">
      <c r="D320" s="38">
        <f>IFERROR(C320*INDEX(Products!$K:$K,MATCH(A320,Products!$A:$A,0)),"")</f>
        <v/>
      </c>
    </row>
    <row r="321" ht="15" customHeight="1" s="22">
      <c r="D321" s="38">
        <f>IFERROR(C321*INDEX(Products!$K:$K,MATCH(A321,Products!$A:$A,0)),"")</f>
        <v/>
      </c>
    </row>
    <row r="322" ht="15" customHeight="1" s="22">
      <c r="D322" s="38">
        <f>IFERROR(C322*INDEX(Products!$K:$K,MATCH(A322,Products!$A:$A,0)),"")</f>
        <v/>
      </c>
    </row>
    <row r="323" ht="15" customHeight="1" s="22">
      <c r="D323" s="38">
        <f>IFERROR(C323*INDEX(Products!$K:$K,MATCH(A323,Products!$A:$A,0)),"")</f>
        <v/>
      </c>
    </row>
    <row r="324" ht="15" customHeight="1" s="22">
      <c r="D324" s="38">
        <f>IFERROR(C324*INDEX(Products!$K:$K,MATCH(A324,Products!$A:$A,0)),"")</f>
        <v/>
      </c>
    </row>
    <row r="325" ht="15" customHeight="1" s="22">
      <c r="D325" s="38">
        <f>IFERROR(C325*INDEX(Products!$K:$K,MATCH(A325,Products!$A:$A,0)),"")</f>
        <v/>
      </c>
    </row>
    <row r="326" ht="15" customHeight="1" s="22">
      <c r="D326" s="38">
        <f>IFERROR(C326*INDEX(Products!$K:$K,MATCH(A326,Products!$A:$A,0)),"")</f>
        <v/>
      </c>
    </row>
    <row r="327" ht="15" customHeight="1" s="22">
      <c r="D327" s="38">
        <f>IFERROR(C327*INDEX(Products!$K:$K,MATCH(A327,Products!$A:$A,0)),"")</f>
        <v/>
      </c>
    </row>
    <row r="328" ht="15" customHeight="1" s="22">
      <c r="D328" s="38">
        <f>IFERROR(C328*INDEX(Products!$K:$K,MATCH(A328,Products!$A:$A,0)),"")</f>
        <v/>
      </c>
    </row>
    <row r="329" ht="15" customHeight="1" s="22">
      <c r="D329" s="38">
        <f>IFERROR(C329*INDEX(Products!$K:$K,MATCH(A329,Products!$A:$A,0)),"")</f>
        <v/>
      </c>
    </row>
    <row r="330" ht="15" customHeight="1" s="22">
      <c r="D330" s="38">
        <f>IFERROR(C330*INDEX(Products!$K:$K,MATCH(A330,Products!$A:$A,0)),"")</f>
        <v/>
      </c>
    </row>
    <row r="331" ht="15" customHeight="1" s="22">
      <c r="D331" s="38">
        <f>IFERROR(C331*INDEX(Products!$K:$K,MATCH(A331,Products!$A:$A,0)),"")</f>
        <v/>
      </c>
    </row>
    <row r="332" ht="15" customHeight="1" s="22">
      <c r="D332" s="38">
        <f>IFERROR(C332*INDEX(Products!$K:$K,MATCH(A332,Products!$A:$A,0)),"")</f>
        <v/>
      </c>
    </row>
    <row r="333" ht="15" customHeight="1" s="22">
      <c r="D333" s="38">
        <f>IFERROR(C333*INDEX(Products!$K:$K,MATCH(A333,Products!$A:$A,0)),"")</f>
        <v/>
      </c>
    </row>
    <row r="334" ht="15" customHeight="1" s="22">
      <c r="D334" s="38">
        <f>IFERROR(C334*INDEX(Products!$K:$K,MATCH(A334,Products!$A:$A,0)),"")</f>
        <v/>
      </c>
    </row>
    <row r="335" ht="15" customHeight="1" s="22">
      <c r="D335" s="38">
        <f>IFERROR(C335*INDEX(Products!$K:$K,MATCH(A335,Products!$A:$A,0)),"")</f>
        <v/>
      </c>
    </row>
    <row r="336" ht="15" customHeight="1" s="22">
      <c r="D336" s="38">
        <f>IFERROR(C336*INDEX(Products!$K:$K,MATCH(A336,Products!$A:$A,0)),"")</f>
        <v/>
      </c>
    </row>
    <row r="337" ht="15" customHeight="1" s="22">
      <c r="D337" s="38">
        <f>IFERROR(C337*INDEX(Products!$K:$K,MATCH(A337,Products!$A:$A,0)),"")</f>
        <v/>
      </c>
    </row>
    <row r="338" ht="15" customHeight="1" s="22">
      <c r="D338" s="38">
        <f>IFERROR(C338*INDEX(Products!$K:$K,MATCH(A338,Products!$A:$A,0)),"")</f>
        <v/>
      </c>
    </row>
    <row r="339" ht="15" customHeight="1" s="22">
      <c r="D339" s="38">
        <f>IFERROR(C339*INDEX(Products!$K:$K,MATCH(A339,Products!$A:$A,0)),"")</f>
        <v/>
      </c>
    </row>
    <row r="340" ht="15" customHeight="1" s="22">
      <c r="D340" s="38">
        <f>IFERROR(C340*INDEX(Products!$K:$K,MATCH(A340,Products!$A:$A,0)),"")</f>
        <v/>
      </c>
    </row>
    <row r="341" ht="15" customHeight="1" s="22">
      <c r="D341" s="38">
        <f>IFERROR(C341*INDEX(Products!$K:$K,MATCH(A341,Products!$A:$A,0)),"")</f>
        <v/>
      </c>
    </row>
    <row r="342" ht="15" customHeight="1" s="22">
      <c r="D342" s="38">
        <f>IFERROR(C342*INDEX(Products!$K:$K,MATCH(A342,Products!$A:$A,0)),"")</f>
        <v/>
      </c>
    </row>
    <row r="343" ht="15" customHeight="1" s="22">
      <c r="D343" s="38">
        <f>IFERROR(C343*INDEX(Products!$K:$K,MATCH(A343,Products!$A:$A,0)),"")</f>
        <v/>
      </c>
    </row>
    <row r="344" ht="15" customHeight="1" s="22">
      <c r="D344" s="38">
        <f>IFERROR(C344*INDEX(Products!$K:$K,MATCH(A344,Products!$A:$A,0)),"")</f>
        <v/>
      </c>
    </row>
    <row r="345" ht="15" customHeight="1" s="22">
      <c r="D345" s="38">
        <f>IFERROR(C345*INDEX(Products!$K:$K,MATCH(A345,Products!$A:$A,0)),"")</f>
        <v/>
      </c>
    </row>
    <row r="346" ht="15" customHeight="1" s="22">
      <c r="D346" s="38">
        <f>IFERROR(C346*INDEX(Products!$K:$K,MATCH(A346,Products!$A:$A,0)),"")</f>
        <v/>
      </c>
    </row>
    <row r="347" ht="15" customHeight="1" s="22">
      <c r="D347" s="38">
        <f>IFERROR(C347*INDEX(Products!$K:$K,MATCH(A347,Products!$A:$A,0)),"")</f>
        <v/>
      </c>
    </row>
    <row r="348" ht="15" customHeight="1" s="22">
      <c r="D348" s="38">
        <f>IFERROR(C348*INDEX(Products!$K:$K,MATCH(A348,Products!$A:$A,0)),"")</f>
        <v/>
      </c>
    </row>
    <row r="349" ht="15" customHeight="1" s="22">
      <c r="D349" s="38">
        <f>IFERROR(C349*INDEX(Products!$K:$K,MATCH(A349,Products!$A:$A,0)),"")</f>
        <v/>
      </c>
    </row>
    <row r="350" ht="15" customHeight="1" s="22">
      <c r="D350" s="38">
        <f>IFERROR(C350*INDEX(Products!$K:$K,MATCH(A350,Products!$A:$A,0)),"")</f>
        <v/>
      </c>
    </row>
    <row r="351" ht="15" customHeight="1" s="22">
      <c r="D351" s="38">
        <f>IFERROR(C351*INDEX(Products!$K:$K,MATCH(A351,Products!$A:$A,0)),"")</f>
        <v/>
      </c>
    </row>
    <row r="352" ht="15" customHeight="1" s="22">
      <c r="D352" s="38">
        <f>IFERROR(C352*INDEX(Products!$K:$K,MATCH(A352,Products!$A:$A,0)),"")</f>
        <v/>
      </c>
    </row>
    <row r="353" ht="15" customHeight="1" s="22">
      <c r="D353" s="38">
        <f>IFERROR(C353*INDEX(Products!$K:$K,MATCH(A353,Products!$A:$A,0)),"")</f>
        <v/>
      </c>
    </row>
    <row r="354" ht="15" customHeight="1" s="22">
      <c r="D354" s="38">
        <f>IFERROR(C354*INDEX(Products!$K:$K,MATCH(A354,Products!$A:$A,0)),"")</f>
        <v/>
      </c>
    </row>
    <row r="355" ht="15" customHeight="1" s="22">
      <c r="D355" s="38">
        <f>IFERROR(C355*INDEX(Products!$K:$K,MATCH(A355,Products!$A:$A,0)),"")</f>
        <v/>
      </c>
    </row>
    <row r="356" ht="15" customHeight="1" s="22">
      <c r="D356" s="38">
        <f>IFERROR(C356*INDEX(Products!$K:$K,MATCH(A356,Products!$A:$A,0)),"")</f>
        <v/>
      </c>
    </row>
    <row r="357" ht="15" customHeight="1" s="22">
      <c r="D357" s="38">
        <f>IFERROR(C357*INDEX(Products!$K:$K,MATCH(A357,Products!$A:$A,0)),"")</f>
        <v/>
      </c>
    </row>
    <row r="358" ht="15" customHeight="1" s="22">
      <c r="D358" s="38">
        <f>IFERROR(C358*INDEX(Products!$K:$K,MATCH(A358,Products!$A:$A,0)),"")</f>
        <v/>
      </c>
    </row>
    <row r="359" ht="15" customHeight="1" s="22">
      <c r="D359" s="38">
        <f>IFERROR(C359*INDEX(Products!$K:$K,MATCH(A359,Products!$A:$A,0)),"")</f>
        <v/>
      </c>
    </row>
    <row r="360" ht="15" customHeight="1" s="22">
      <c r="D360" s="38">
        <f>IFERROR(C360*INDEX(Products!$K:$K,MATCH(A360,Products!$A:$A,0)),"")</f>
        <v/>
      </c>
    </row>
    <row r="361" ht="15" customHeight="1" s="22">
      <c r="D361" s="38">
        <f>IFERROR(C361*INDEX(Products!$K:$K,MATCH(A361,Products!$A:$A,0)),"")</f>
        <v/>
      </c>
    </row>
    <row r="362" ht="15" customHeight="1" s="22">
      <c r="D362" s="38">
        <f>IFERROR(C362*INDEX(Products!$K:$K,MATCH(A362,Products!$A:$A,0)),"")</f>
        <v/>
      </c>
    </row>
    <row r="363" ht="15" customHeight="1" s="22">
      <c r="D363" s="38">
        <f>IFERROR(C363*INDEX(Products!$K:$K,MATCH(A363,Products!$A:$A,0)),"")</f>
        <v/>
      </c>
    </row>
    <row r="364" ht="15" customHeight="1" s="22">
      <c r="D364" s="38">
        <f>IFERROR(C364*INDEX(Products!$K:$K,MATCH(A364,Products!$A:$A,0)),"")</f>
        <v/>
      </c>
    </row>
    <row r="365" ht="15" customHeight="1" s="22">
      <c r="D365" s="38">
        <f>IFERROR(C365*INDEX(Products!$K:$K,MATCH(A365,Products!$A:$A,0)),"")</f>
        <v/>
      </c>
    </row>
    <row r="366" ht="15" customHeight="1" s="22">
      <c r="D366" s="38">
        <f>IFERROR(C366*INDEX(Products!$K:$K,MATCH(A366,Products!$A:$A,0)),"")</f>
        <v/>
      </c>
    </row>
    <row r="367" ht="15" customHeight="1" s="22">
      <c r="D367" s="38">
        <f>IFERROR(C367*INDEX(Products!$K:$K,MATCH(A367,Products!$A:$A,0)),"")</f>
        <v/>
      </c>
    </row>
    <row r="368" ht="15" customHeight="1" s="22">
      <c r="D368" s="38">
        <f>IFERROR(C368*INDEX(Products!$K:$K,MATCH(A368,Products!$A:$A,0)),"")</f>
        <v/>
      </c>
    </row>
    <row r="369" ht="15" customHeight="1" s="22">
      <c r="D369" s="38">
        <f>IFERROR(C369*INDEX(Products!$K:$K,MATCH(A369,Products!$A:$A,0)),"")</f>
        <v/>
      </c>
    </row>
    <row r="370" ht="15" customHeight="1" s="22">
      <c r="D370" s="38">
        <f>IFERROR(C370*INDEX(Products!$K:$K,MATCH(A370,Products!$A:$A,0)),"")</f>
        <v/>
      </c>
    </row>
    <row r="371" ht="15" customHeight="1" s="22">
      <c r="D371" s="38">
        <f>IFERROR(C371*INDEX(Products!$K:$K,MATCH(A371,Products!$A:$A,0)),"")</f>
        <v/>
      </c>
    </row>
    <row r="372" ht="15" customHeight="1" s="22">
      <c r="D372" s="38">
        <f>IFERROR(C372*INDEX(Products!$K:$K,MATCH(A372,Products!$A:$A,0)),"")</f>
        <v/>
      </c>
    </row>
    <row r="373" ht="15" customHeight="1" s="22">
      <c r="D373" s="38">
        <f>IFERROR(C373*INDEX(Products!$K:$K,MATCH(A373,Products!$A:$A,0)),"")</f>
        <v/>
      </c>
    </row>
    <row r="374" ht="15" customHeight="1" s="22">
      <c r="D374" s="38">
        <f>IFERROR(C374*INDEX(Products!$K:$K,MATCH(A374,Products!$A:$A,0)),"")</f>
        <v/>
      </c>
    </row>
    <row r="375" ht="15" customHeight="1" s="22">
      <c r="D375" s="38">
        <f>IFERROR(C375*INDEX(Products!$K:$K,MATCH(A375,Products!$A:$A,0)),"")</f>
        <v/>
      </c>
    </row>
    <row r="376" ht="15" customHeight="1" s="22">
      <c r="D376" s="38">
        <f>IFERROR(C376*INDEX(Products!$K:$K,MATCH(A376,Products!$A:$A,0)),"")</f>
        <v/>
      </c>
    </row>
    <row r="377" ht="15" customHeight="1" s="22">
      <c r="D377" s="38">
        <f>IFERROR(C377*INDEX(Products!$K:$K,MATCH(A377,Products!$A:$A,0)),"")</f>
        <v/>
      </c>
    </row>
    <row r="378" ht="15" customHeight="1" s="22">
      <c r="D378" s="38">
        <f>IFERROR(C378*INDEX(Products!$K:$K,MATCH(A378,Products!$A:$A,0)),"")</f>
        <v/>
      </c>
    </row>
    <row r="379" ht="15" customHeight="1" s="22">
      <c r="D379" s="38">
        <f>IFERROR(C379*INDEX(Products!$K:$K,MATCH(A379,Products!$A:$A,0)),"")</f>
        <v/>
      </c>
    </row>
    <row r="380" ht="15" customHeight="1" s="22">
      <c r="D380" s="38">
        <f>IFERROR(C380*INDEX(Products!$K:$K,MATCH(A380,Products!$A:$A,0)),"")</f>
        <v/>
      </c>
    </row>
    <row r="381" ht="15" customHeight="1" s="22">
      <c r="D381" s="38">
        <f>IFERROR(C381*INDEX(Products!$K:$K,MATCH(A381,Products!$A:$A,0)),"")</f>
        <v/>
      </c>
    </row>
    <row r="382" ht="15" customHeight="1" s="22">
      <c r="D382" s="38">
        <f>IFERROR(C382*INDEX(Products!$K:$K,MATCH(A382,Products!$A:$A,0)),"")</f>
        <v/>
      </c>
    </row>
    <row r="383" ht="15" customHeight="1" s="22">
      <c r="D383" s="38">
        <f>IFERROR(C383*INDEX(Products!$K:$K,MATCH(A383,Products!$A:$A,0)),"")</f>
        <v/>
      </c>
    </row>
    <row r="384" ht="15" customHeight="1" s="22">
      <c r="D384" s="38">
        <f>IFERROR(C384*INDEX(Products!$K:$K,MATCH(A384,Products!$A:$A,0)),"")</f>
        <v/>
      </c>
    </row>
    <row r="385" ht="15" customHeight="1" s="22">
      <c r="D385" s="38">
        <f>IFERROR(C385*INDEX(Products!$K:$K,MATCH(A385,Products!$A:$A,0)),"")</f>
        <v/>
      </c>
    </row>
    <row r="386" ht="15" customHeight="1" s="22">
      <c r="D386" s="38">
        <f>IFERROR(C386*INDEX(Products!$K:$K,MATCH(A386,Products!$A:$A,0)),"")</f>
        <v/>
      </c>
    </row>
    <row r="387" ht="15" customHeight="1" s="22">
      <c r="D387" s="38">
        <f>IFERROR(C387*INDEX(Products!$K:$K,MATCH(A387,Products!$A:$A,0)),"")</f>
        <v/>
      </c>
    </row>
    <row r="388" ht="15" customHeight="1" s="22">
      <c r="D388" s="38">
        <f>IFERROR(C388*INDEX(Products!$K:$K,MATCH(A388,Products!$A:$A,0)),"")</f>
        <v/>
      </c>
    </row>
    <row r="389" ht="15" customHeight="1" s="22">
      <c r="D389" s="38">
        <f>IFERROR(C389*INDEX(Products!$K:$K,MATCH(A389,Products!$A:$A,0)),"")</f>
        <v/>
      </c>
    </row>
    <row r="390" ht="15" customHeight="1" s="22">
      <c r="D390" s="38">
        <f>IFERROR(C390*INDEX(Products!$K:$K,MATCH(A390,Products!$A:$A,0)),"")</f>
        <v/>
      </c>
    </row>
    <row r="391" ht="15" customHeight="1" s="22">
      <c r="D391" s="38">
        <f>IFERROR(C391*INDEX(Products!$K:$K,MATCH(A391,Products!$A:$A,0)),"")</f>
        <v/>
      </c>
    </row>
    <row r="392" ht="15" customHeight="1" s="22">
      <c r="D392" s="38">
        <f>IFERROR(C392*INDEX(Products!$K:$K,MATCH(A392,Products!$A:$A,0)),"")</f>
        <v/>
      </c>
    </row>
    <row r="393" ht="15" customHeight="1" s="22">
      <c r="D393" s="38">
        <f>IFERROR(C393*INDEX(Products!$K:$K,MATCH(A393,Products!$A:$A,0)),"")</f>
        <v/>
      </c>
    </row>
    <row r="394" ht="15" customHeight="1" s="22">
      <c r="D394" s="38">
        <f>IFERROR(C394*INDEX(Products!$K:$K,MATCH(A394,Products!$A:$A,0)),"")</f>
        <v/>
      </c>
    </row>
    <row r="395" ht="15" customHeight="1" s="22">
      <c r="D395" s="38">
        <f>IFERROR(C395*INDEX(Products!$K:$K,MATCH(A395,Products!$A:$A,0)),"")</f>
        <v/>
      </c>
    </row>
    <row r="396" ht="15" customHeight="1" s="22">
      <c r="D396" s="38">
        <f>IFERROR(C396*INDEX(Products!$K:$K,MATCH(A396,Products!$A:$A,0)),"")</f>
        <v/>
      </c>
    </row>
    <row r="397" ht="15" customHeight="1" s="22">
      <c r="D397" s="38">
        <f>IFERROR(C397*INDEX(Products!$K:$K,MATCH(A397,Products!$A:$A,0)),"")</f>
        <v/>
      </c>
    </row>
    <row r="398" ht="15" customHeight="1" s="22">
      <c r="D398" s="38">
        <f>IFERROR(C398*INDEX(Products!$K:$K,MATCH(A398,Products!$A:$A,0)),"")</f>
        <v/>
      </c>
    </row>
    <row r="399" ht="15" customHeight="1" s="22">
      <c r="D399" s="38">
        <f>IFERROR(C399*INDEX(Products!$K:$K,MATCH(A399,Products!$A:$A,0)),"")</f>
        <v/>
      </c>
    </row>
    <row r="400" ht="15" customHeight="1" s="22">
      <c r="D400" s="38">
        <f>IFERROR(C400*INDEX(Products!$K:$K,MATCH(A400,Products!$A:$A,0)),"")</f>
        <v/>
      </c>
    </row>
    <row r="401" ht="15" customHeight="1" s="22">
      <c r="D401" s="38">
        <f>IFERROR(C401*INDEX(Products!$K:$K,MATCH(A401,Products!$A:$A,0)),"")</f>
        <v/>
      </c>
    </row>
    <row r="402" ht="15" customHeight="1" s="22">
      <c r="D402" s="38">
        <f>IFERROR(C402*INDEX(Products!$K:$K,MATCH(A402,Products!$A:$A,0)),"")</f>
        <v/>
      </c>
    </row>
    <row r="403" ht="15" customHeight="1" s="22">
      <c r="D403" s="38">
        <f>IFERROR(C403*INDEX(Products!$K:$K,MATCH(A403,Products!$A:$A,0)),"")</f>
        <v/>
      </c>
    </row>
    <row r="404" ht="15" customHeight="1" s="22">
      <c r="D404" s="38">
        <f>IFERROR(C404*INDEX(Products!$K:$K,MATCH(A404,Products!$A:$A,0)),"")</f>
        <v/>
      </c>
    </row>
    <row r="405" ht="15" customHeight="1" s="22">
      <c r="D405" s="38">
        <f>IFERROR(C405*INDEX(Products!$K:$K,MATCH(A405,Products!$A:$A,0)),"")</f>
        <v/>
      </c>
    </row>
    <row r="406" ht="15" customHeight="1" s="22">
      <c r="D406" s="38">
        <f>IFERROR(C406*INDEX(Products!$K:$K,MATCH(A406,Products!$A:$A,0)),"")</f>
        <v/>
      </c>
    </row>
    <row r="407" ht="15" customHeight="1" s="22">
      <c r="D407" s="38">
        <f>IFERROR(C407*INDEX(Products!$K:$K,MATCH(A407,Products!$A:$A,0)),"")</f>
        <v/>
      </c>
    </row>
    <row r="408" ht="15" customHeight="1" s="22">
      <c r="D408" s="38">
        <f>IFERROR(C408*INDEX(Products!$K:$K,MATCH(A408,Products!$A:$A,0)),"")</f>
        <v/>
      </c>
    </row>
    <row r="409" ht="15" customHeight="1" s="22">
      <c r="D409" s="38">
        <f>IFERROR(C409*INDEX(Products!$K:$K,MATCH(A409,Products!$A:$A,0)),"")</f>
        <v/>
      </c>
    </row>
    <row r="410" ht="15" customHeight="1" s="22">
      <c r="D410" s="38">
        <f>IFERROR(C410*INDEX(Products!$K:$K,MATCH(A410,Products!$A:$A,0)),"")</f>
        <v/>
      </c>
    </row>
    <row r="411" ht="15" customHeight="1" s="22">
      <c r="D411" s="38">
        <f>IFERROR(C411*INDEX(Products!$K:$K,MATCH(A411,Products!$A:$A,0)),"")</f>
        <v/>
      </c>
    </row>
    <row r="412" ht="15" customHeight="1" s="22">
      <c r="D412" s="38">
        <f>IFERROR(C412*INDEX(Products!$K:$K,MATCH(A412,Products!$A:$A,0)),"")</f>
        <v/>
      </c>
    </row>
    <row r="413" ht="15" customHeight="1" s="22">
      <c r="D413" s="38">
        <f>IFERROR(C413*INDEX(Products!$K:$K,MATCH(A413,Products!$A:$A,0)),"")</f>
        <v/>
      </c>
    </row>
    <row r="414" ht="15" customHeight="1" s="22">
      <c r="D414" s="38">
        <f>IFERROR(C414*INDEX(Products!$K:$K,MATCH(A414,Products!$A:$A,0)),"")</f>
        <v/>
      </c>
    </row>
    <row r="415" ht="15" customHeight="1" s="22">
      <c r="D415" s="38">
        <f>IFERROR(C415*INDEX(Products!$K:$K,MATCH(A415,Products!$A:$A,0)),"")</f>
        <v/>
      </c>
    </row>
    <row r="416" ht="15" customHeight="1" s="22">
      <c r="D416" s="38">
        <f>IFERROR(C416*INDEX(Products!$K:$K,MATCH(A416,Products!$A:$A,0)),"")</f>
        <v/>
      </c>
    </row>
    <row r="417" ht="15" customHeight="1" s="22">
      <c r="D417" s="38">
        <f>IFERROR(C417*INDEX(Products!$K:$K,MATCH(A417,Products!$A:$A,0)),"")</f>
        <v/>
      </c>
    </row>
    <row r="418" ht="15" customHeight="1" s="22">
      <c r="D418" s="38">
        <f>IFERROR(C418*INDEX(Products!$K:$K,MATCH(A418,Products!$A:$A,0)),"")</f>
        <v/>
      </c>
    </row>
    <row r="419" ht="15" customHeight="1" s="22">
      <c r="D419" s="38">
        <f>IFERROR(C419*INDEX(Products!$K:$K,MATCH(A419,Products!$A:$A,0)),"")</f>
        <v/>
      </c>
    </row>
    <row r="420" ht="15" customHeight="1" s="22">
      <c r="D420" s="38">
        <f>IFERROR(C420*INDEX(Products!$K:$K,MATCH(A420,Products!$A:$A,0)),"")</f>
        <v/>
      </c>
    </row>
    <row r="421" ht="15" customHeight="1" s="22">
      <c r="D421" s="38">
        <f>IFERROR(C421*INDEX(Products!$K:$K,MATCH(A421,Products!$A:$A,0)),"")</f>
        <v/>
      </c>
    </row>
    <row r="422" ht="15" customHeight="1" s="22">
      <c r="D422" s="38">
        <f>IFERROR(C422*INDEX(Products!$K:$K,MATCH(A422,Products!$A:$A,0)),"")</f>
        <v/>
      </c>
    </row>
    <row r="423" ht="15" customHeight="1" s="22">
      <c r="D423" s="38">
        <f>IFERROR(C423*INDEX(Products!$K:$K,MATCH(A423,Products!$A:$A,0)),"")</f>
        <v/>
      </c>
    </row>
    <row r="424" ht="15" customHeight="1" s="22">
      <c r="D424" s="38">
        <f>IFERROR(C424*INDEX(Products!$K:$K,MATCH(A424,Products!$A:$A,0)),"")</f>
        <v/>
      </c>
    </row>
    <row r="425" ht="15" customHeight="1" s="22">
      <c r="D425" s="38">
        <f>IFERROR(C425*INDEX(Products!$K:$K,MATCH(A425,Products!$A:$A,0)),"")</f>
        <v/>
      </c>
    </row>
    <row r="426" ht="15" customHeight="1" s="22">
      <c r="D426" s="38">
        <f>IFERROR(C426*INDEX(Products!$K:$K,MATCH(A426,Products!$A:$A,0)),"")</f>
        <v/>
      </c>
    </row>
    <row r="427" ht="15" customHeight="1" s="22">
      <c r="D427" s="38">
        <f>IFERROR(C427*INDEX(Products!$K:$K,MATCH(A427,Products!$A:$A,0)),"")</f>
        <v/>
      </c>
    </row>
    <row r="428" ht="15" customHeight="1" s="22">
      <c r="D428" s="38">
        <f>IFERROR(C428*INDEX(Products!$K:$K,MATCH(A428,Products!$A:$A,0)),"")</f>
        <v/>
      </c>
    </row>
    <row r="429" ht="15" customHeight="1" s="22">
      <c r="D429" s="38">
        <f>IFERROR(C429*INDEX(Products!$K:$K,MATCH(A429,Products!$A:$A,0)),"")</f>
        <v/>
      </c>
    </row>
    <row r="430" ht="15" customHeight="1" s="22">
      <c r="D430" s="38">
        <f>IFERROR(C430*INDEX(Products!$K:$K,MATCH(A430,Products!$A:$A,0)),"")</f>
        <v/>
      </c>
    </row>
    <row r="431" ht="15" customHeight="1" s="22">
      <c r="D431" s="38">
        <f>IFERROR(C431*INDEX(Products!$K:$K,MATCH(A431,Products!$A:$A,0)),"")</f>
        <v/>
      </c>
    </row>
    <row r="432" ht="15" customHeight="1" s="22">
      <c r="D432" s="38">
        <f>IFERROR(C432*INDEX(Products!$K:$K,MATCH(A432,Products!$A:$A,0)),"")</f>
        <v/>
      </c>
    </row>
    <row r="433" ht="15" customHeight="1" s="22">
      <c r="D433" s="38">
        <f>IFERROR(C433*INDEX(Products!$K:$K,MATCH(A433,Products!$A:$A,0)),"")</f>
        <v/>
      </c>
    </row>
    <row r="434" ht="15" customHeight="1" s="22">
      <c r="D434" s="38">
        <f>IFERROR(C434*INDEX(Products!$K:$K,MATCH(A434,Products!$A:$A,0)),"")</f>
        <v/>
      </c>
    </row>
    <row r="435" ht="15" customHeight="1" s="22">
      <c r="D435" s="38">
        <f>IFERROR(C435*INDEX(Products!$K:$K,MATCH(A435,Products!$A:$A,0)),"")</f>
        <v/>
      </c>
    </row>
    <row r="436" ht="15" customHeight="1" s="22">
      <c r="D436" s="38">
        <f>IFERROR(C436*INDEX(Products!$K:$K,MATCH(A436,Products!$A:$A,0)),"")</f>
        <v/>
      </c>
    </row>
    <row r="437" ht="15" customHeight="1" s="22">
      <c r="D437" s="38">
        <f>IFERROR(C437*INDEX(Products!$K:$K,MATCH(A437,Products!$A:$A,0)),"")</f>
        <v/>
      </c>
    </row>
    <row r="438" ht="15" customHeight="1" s="22">
      <c r="D438" s="38">
        <f>IFERROR(C438*INDEX(Products!$K:$K,MATCH(A438,Products!$A:$A,0)),"")</f>
        <v/>
      </c>
    </row>
    <row r="439" ht="15" customHeight="1" s="22">
      <c r="D439" s="38">
        <f>IFERROR(C439*INDEX(Products!$K:$K,MATCH(A439,Products!$A:$A,0)),"")</f>
        <v/>
      </c>
    </row>
    <row r="440" ht="15" customHeight="1" s="22">
      <c r="D440" s="38">
        <f>IFERROR(C440*INDEX(Products!$K:$K,MATCH(A440,Products!$A:$A,0)),"")</f>
        <v/>
      </c>
    </row>
    <row r="441" ht="15" customHeight="1" s="22">
      <c r="D441" s="38">
        <f>IFERROR(C441*INDEX(Products!$K:$K,MATCH(A441,Products!$A:$A,0)),"")</f>
        <v/>
      </c>
    </row>
    <row r="442" ht="15" customHeight="1" s="22">
      <c r="D442" s="38">
        <f>IFERROR(C442*INDEX(Products!$K:$K,MATCH(A442,Products!$A:$A,0)),"")</f>
        <v/>
      </c>
    </row>
    <row r="443" ht="15" customHeight="1" s="22">
      <c r="D443" s="38">
        <f>IFERROR(C443*INDEX(Products!$K:$K,MATCH(A443,Products!$A:$A,0)),"")</f>
        <v/>
      </c>
    </row>
    <row r="444" ht="15" customHeight="1" s="22">
      <c r="D444" s="38">
        <f>IFERROR(C444*INDEX(Products!$K:$K,MATCH(A444,Products!$A:$A,0)),"")</f>
        <v/>
      </c>
    </row>
    <row r="445" ht="15" customHeight="1" s="22">
      <c r="D445" s="38">
        <f>IFERROR(C445*INDEX(Products!$K:$K,MATCH(A445,Products!$A:$A,0)),"")</f>
        <v/>
      </c>
    </row>
    <row r="446" ht="15" customHeight="1" s="22">
      <c r="D446" s="38">
        <f>IFERROR(C446*INDEX(Products!$K:$K,MATCH(A446,Products!$A:$A,0)),"")</f>
        <v/>
      </c>
    </row>
    <row r="447" ht="15" customHeight="1" s="22">
      <c r="D447" s="38">
        <f>IFERROR(C447*INDEX(Products!$K:$K,MATCH(A447,Products!$A:$A,0)),"")</f>
        <v/>
      </c>
    </row>
    <row r="448" ht="15" customHeight="1" s="22">
      <c r="D448" s="38">
        <f>IFERROR(C448*INDEX(Products!$K:$K,MATCH(A448,Products!$A:$A,0)),"")</f>
        <v/>
      </c>
    </row>
    <row r="449" ht="15" customHeight="1" s="22">
      <c r="D449" s="38">
        <f>IFERROR(C449*INDEX(Products!$K:$K,MATCH(A449,Products!$A:$A,0)),"")</f>
        <v/>
      </c>
    </row>
    <row r="450" ht="15" customHeight="1" s="22">
      <c r="D450" s="38">
        <f>IFERROR(C450*INDEX(Products!$K:$K,MATCH(A450,Products!$A:$A,0)),"")</f>
        <v/>
      </c>
    </row>
    <row r="451" ht="15" customHeight="1" s="22">
      <c r="D451" s="38">
        <f>IFERROR(C451*INDEX(Products!$K:$K,MATCH(A451,Products!$A:$A,0)),"")</f>
        <v/>
      </c>
    </row>
    <row r="452" ht="15" customHeight="1" s="22">
      <c r="D452" s="38">
        <f>IFERROR(C452*INDEX(Products!$K:$K,MATCH(A452,Products!$A:$A,0)),"")</f>
        <v/>
      </c>
    </row>
    <row r="453" ht="15" customHeight="1" s="22">
      <c r="D453" s="38">
        <f>IFERROR(C453*INDEX(Products!$K:$K,MATCH(A453,Products!$A:$A,0)),"")</f>
        <v/>
      </c>
    </row>
    <row r="454" ht="15" customHeight="1" s="22">
      <c r="D454" s="38">
        <f>IFERROR(C454*INDEX(Products!$K:$K,MATCH(A454,Products!$A:$A,0)),"")</f>
        <v/>
      </c>
    </row>
    <row r="455" ht="15" customHeight="1" s="22">
      <c r="D455" s="38">
        <f>IFERROR(C455*INDEX(Products!$K:$K,MATCH(A455,Products!$A:$A,0)),"")</f>
        <v/>
      </c>
    </row>
    <row r="456" ht="15" customHeight="1" s="22">
      <c r="D456" s="38">
        <f>IFERROR(C456*INDEX(Products!$K:$K,MATCH(A456,Products!$A:$A,0)),"")</f>
        <v/>
      </c>
    </row>
    <row r="457" ht="15" customHeight="1" s="22">
      <c r="D457" s="38">
        <f>IFERROR(C457*INDEX(Products!$K:$K,MATCH(A457,Products!$A:$A,0)),"")</f>
        <v/>
      </c>
    </row>
    <row r="458" ht="15" customHeight="1" s="22">
      <c r="D458" s="38">
        <f>IFERROR(C458*INDEX(Products!$K:$K,MATCH(A458,Products!$A:$A,0)),"")</f>
        <v/>
      </c>
    </row>
    <row r="459" ht="15" customHeight="1" s="22">
      <c r="D459" s="38">
        <f>IFERROR(C459*INDEX(Products!$K:$K,MATCH(A459,Products!$A:$A,0)),"")</f>
        <v/>
      </c>
    </row>
    <row r="460" ht="15" customHeight="1" s="22">
      <c r="D460" s="38">
        <f>IFERROR(C460*INDEX(Products!$K:$K,MATCH(A460,Products!$A:$A,0)),"")</f>
        <v/>
      </c>
    </row>
    <row r="461" ht="15" customHeight="1" s="22">
      <c r="D461" s="38">
        <f>IFERROR(C461*INDEX(Products!$K:$K,MATCH(A461,Products!$A:$A,0)),"")</f>
        <v/>
      </c>
    </row>
    <row r="462" ht="15" customHeight="1" s="22">
      <c r="D462" s="38">
        <f>IFERROR(C462*INDEX(Products!$K:$K,MATCH(A462,Products!$A:$A,0)),"")</f>
        <v/>
      </c>
    </row>
    <row r="463" ht="15" customHeight="1" s="22">
      <c r="D463" s="38">
        <f>IFERROR(C463*INDEX(Products!$K:$K,MATCH(A463,Products!$A:$A,0)),"")</f>
        <v/>
      </c>
    </row>
    <row r="464" ht="15" customHeight="1" s="22">
      <c r="D464" s="38">
        <f>IFERROR(C464*INDEX(Products!$K:$K,MATCH(A464,Products!$A:$A,0)),"")</f>
        <v/>
      </c>
    </row>
    <row r="465" ht="15" customHeight="1" s="22">
      <c r="D465" s="38">
        <f>IFERROR(C465*INDEX(Products!$K:$K,MATCH(A465,Products!$A:$A,0)),"")</f>
        <v/>
      </c>
    </row>
    <row r="466" ht="15" customHeight="1" s="22">
      <c r="D466" s="38">
        <f>IFERROR(C466*INDEX(Products!$K:$K,MATCH(A466,Products!$A:$A,0)),"")</f>
        <v/>
      </c>
    </row>
    <row r="467" ht="15" customHeight="1" s="22">
      <c r="D467" s="38">
        <f>IFERROR(C467*INDEX(Products!$K:$K,MATCH(A467,Products!$A:$A,0)),"")</f>
        <v/>
      </c>
    </row>
    <row r="468" ht="15" customHeight="1" s="22">
      <c r="D468" s="38">
        <f>IFERROR(C468*INDEX(Products!$K:$K,MATCH(A468,Products!$A:$A,0)),"")</f>
        <v/>
      </c>
    </row>
    <row r="469" ht="15" customHeight="1" s="22">
      <c r="D469" s="38">
        <f>IFERROR(C469*INDEX(Products!$K:$K,MATCH(A469,Products!$A:$A,0)),"")</f>
        <v/>
      </c>
    </row>
    <row r="470" ht="15" customHeight="1" s="22">
      <c r="D470" s="38">
        <f>IFERROR(C470*INDEX(Products!$K:$K,MATCH(A470,Products!$A:$A,0)),"")</f>
        <v/>
      </c>
    </row>
    <row r="471" ht="15" customHeight="1" s="22">
      <c r="D471" s="38">
        <f>IFERROR(C471*INDEX(Products!$K:$K,MATCH(A471,Products!$A:$A,0)),"")</f>
        <v/>
      </c>
    </row>
    <row r="472" ht="15" customHeight="1" s="22">
      <c r="D472" s="38">
        <f>IFERROR(C472*INDEX(Products!$K:$K,MATCH(A472,Products!$A:$A,0)),"")</f>
        <v/>
      </c>
    </row>
    <row r="473" ht="15" customHeight="1" s="22">
      <c r="D473" s="38">
        <f>IFERROR(C473*INDEX(Products!$K:$K,MATCH(A473,Products!$A:$A,0)),"")</f>
        <v/>
      </c>
    </row>
    <row r="474" ht="15" customHeight="1" s="22">
      <c r="D474" s="38">
        <f>IFERROR(C474*INDEX(Products!$K:$K,MATCH(A474,Products!$A:$A,0)),"")</f>
        <v/>
      </c>
    </row>
    <row r="475" ht="15" customHeight="1" s="22">
      <c r="D475" s="38">
        <f>IFERROR(C475*INDEX(Products!$K:$K,MATCH(A475,Products!$A:$A,0)),"")</f>
        <v/>
      </c>
    </row>
    <row r="476" ht="15" customHeight="1" s="22">
      <c r="D476" s="38">
        <f>IFERROR(C476*INDEX(Products!$K:$K,MATCH(A476,Products!$A:$A,0)),"")</f>
        <v/>
      </c>
    </row>
    <row r="477" ht="15" customHeight="1" s="22">
      <c r="D477" s="38">
        <f>IFERROR(C477*INDEX(Products!$K:$K,MATCH(A477,Products!$A:$A,0)),"")</f>
        <v/>
      </c>
    </row>
    <row r="478" ht="15" customHeight="1" s="22">
      <c r="D478" s="38">
        <f>IFERROR(C478*INDEX(Products!$K:$K,MATCH(A478,Products!$A:$A,0)),"")</f>
        <v/>
      </c>
    </row>
    <row r="479" ht="15" customHeight="1" s="22">
      <c r="D479" s="38">
        <f>IFERROR(C479*INDEX(Products!$K:$K,MATCH(A479,Products!$A:$A,0)),"")</f>
        <v/>
      </c>
    </row>
    <row r="480" ht="15" customHeight="1" s="22">
      <c r="D480" s="38">
        <f>IFERROR(C480*INDEX(Products!$K:$K,MATCH(A480,Products!$A:$A,0)),"")</f>
        <v/>
      </c>
    </row>
    <row r="481" ht="15" customHeight="1" s="22">
      <c r="D481" s="38">
        <f>IFERROR(C481*INDEX(Products!$K:$K,MATCH(A481,Products!$A:$A,0)),"")</f>
        <v/>
      </c>
    </row>
    <row r="482" ht="15" customHeight="1" s="22">
      <c r="D482" s="38">
        <f>IFERROR(C482*INDEX(Products!$K:$K,MATCH(A482,Products!$A:$A,0)),"")</f>
        <v/>
      </c>
    </row>
    <row r="483" ht="15" customHeight="1" s="22">
      <c r="D483" s="38">
        <f>IFERROR(C483*INDEX(Products!$K:$K,MATCH(A483,Products!$A:$A,0)),"")</f>
        <v/>
      </c>
    </row>
    <row r="484" ht="15" customHeight="1" s="22">
      <c r="D484" s="38">
        <f>IFERROR(C484*INDEX(Products!$K:$K,MATCH(A484,Products!$A:$A,0)),"")</f>
        <v/>
      </c>
    </row>
    <row r="485" ht="15" customHeight="1" s="22">
      <c r="D485" s="38">
        <f>IFERROR(C485*INDEX(Products!$K:$K,MATCH(A485,Products!$A:$A,0)),"")</f>
        <v/>
      </c>
    </row>
    <row r="486" ht="15" customHeight="1" s="22">
      <c r="D486" s="38">
        <f>IFERROR(C486*INDEX(Products!$K:$K,MATCH(A486,Products!$A:$A,0)),"")</f>
        <v/>
      </c>
    </row>
    <row r="487" ht="15" customHeight="1" s="22">
      <c r="D487" s="38">
        <f>IFERROR(C487*INDEX(Products!$K:$K,MATCH(A487,Products!$A:$A,0)),"")</f>
        <v/>
      </c>
    </row>
    <row r="488" ht="15" customHeight="1" s="22">
      <c r="D488" s="38">
        <f>IFERROR(C488*INDEX(Products!$K:$K,MATCH(A488,Products!$A:$A,0)),"")</f>
        <v/>
      </c>
    </row>
    <row r="489" ht="15" customHeight="1" s="22">
      <c r="D489" s="38">
        <f>IFERROR(C489*INDEX(Products!$K:$K,MATCH(A489,Products!$A:$A,0)),"")</f>
        <v/>
      </c>
    </row>
    <row r="490" ht="15" customHeight="1" s="22">
      <c r="D490" s="38">
        <f>IFERROR(C490*INDEX(Products!$K:$K,MATCH(A490,Products!$A:$A,0)),"")</f>
        <v/>
      </c>
    </row>
    <row r="491" ht="15" customHeight="1" s="22">
      <c r="D491" s="38">
        <f>IFERROR(C491*INDEX(Products!$K:$K,MATCH(A491,Products!$A:$A,0)),"")</f>
        <v/>
      </c>
    </row>
    <row r="492" ht="15" customHeight="1" s="22">
      <c r="D492" s="38">
        <f>IFERROR(C492*INDEX(Products!$K:$K,MATCH(A492,Products!$A:$A,0)),"")</f>
        <v/>
      </c>
    </row>
    <row r="493" ht="15" customHeight="1" s="22">
      <c r="D493" s="38">
        <f>IFERROR(C493*INDEX(Products!$K:$K,MATCH(A493,Products!$A:$A,0)),"")</f>
        <v/>
      </c>
    </row>
    <row r="494" ht="15" customHeight="1" s="22">
      <c r="D494" s="38">
        <f>IFERROR(C494*INDEX(Products!$K:$K,MATCH(A494,Products!$A:$A,0)),"")</f>
        <v/>
      </c>
    </row>
    <row r="495" ht="15" customHeight="1" s="22">
      <c r="D495" s="38">
        <f>IFERROR(C495*INDEX(Products!$K:$K,MATCH(A495,Products!$A:$A,0)),"")</f>
        <v/>
      </c>
    </row>
    <row r="496" ht="15" customHeight="1" s="22">
      <c r="D496" s="38">
        <f>IFERROR(C496*INDEX(Products!$K:$K,MATCH(A496,Products!$A:$A,0)),"")</f>
        <v/>
      </c>
    </row>
    <row r="497" ht="15" customHeight="1" s="22">
      <c r="D497" s="38">
        <f>IFERROR(C497*INDEX(Products!$K:$K,MATCH(A497,Products!$A:$A,0)),"")</f>
        <v/>
      </c>
    </row>
    <row r="498" ht="15" customHeight="1" s="22">
      <c r="D498" s="38">
        <f>IFERROR(C498*INDEX(Products!$K:$K,MATCH(A498,Products!$A:$A,0)),"")</f>
        <v/>
      </c>
    </row>
    <row r="499" ht="15" customHeight="1" s="22">
      <c r="D499" s="38">
        <f>IFERROR(C499*INDEX(Products!$K:$K,MATCH(A499,Products!$A:$A,0)),"")</f>
        <v/>
      </c>
    </row>
    <row r="500" ht="15" customHeight="1" s="22">
      <c r="D500" s="38">
        <f>IFERROR(C500*INDEX(Products!$K:$K,MATCH(A500,Products!$A:$A,0)),"")</f>
        <v/>
      </c>
    </row>
  </sheetData>
  <autoFilter ref="A1:E1"/>
  <dataValidations count="2">
    <dataValidation sqref="E2:E500" showDropDown="0" showInputMessage="0" showErrorMessage="1" allowBlank="1" error="Enter a number of zero or more." type="decimal" errorStyle="stop" operator="greaterThanOrEqual">
      <formula1>0</formula1>
      <formula2>0</formula2>
    </dataValidation>
    <dataValidation sqref="C2:C500" showDropDown="0" showInputMessage="0" showErrorMessage="1" allowBlank="0" error="Enter a whole number of 1 or more." type="whole" errorStyle="stop" operator="greaterThanOrEqual">
      <formula1>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G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21" min="1" max="1"/>
    <col width="18" customWidth="1" style="21" min="2" max="2"/>
    <col width="14" customWidth="1" style="21" min="3" max="3"/>
    <col width="20" customWidth="1" style="21" min="4" max="4"/>
    <col width="16" customWidth="1" style="21" min="5" max="5"/>
    <col width="14" customWidth="1" style="21" min="6" max="6"/>
    <col width="21" customWidth="1" style="21" min="7" max="7"/>
  </cols>
  <sheetData>
    <row r="1" ht="31.5" customHeight="1" s="22">
      <c r="A1" s="32" t="inlineStr">
        <is>
          <t>farm_code *</t>
        </is>
      </c>
      <c r="B1" s="32" t="inlineStr">
        <is>
          <t>product_code *</t>
        </is>
      </c>
      <c r="C1" s="32" t="inlineStr">
        <is>
          <t>currency *</t>
        </is>
      </c>
      <c r="D1" s="32" t="inlineStr">
        <is>
          <t>price_per_stem *</t>
        </is>
      </c>
      <c r="E1" s="32" t="inlineStr">
        <is>
          <t>valid_from *</t>
        </is>
      </c>
      <c r="F1" s="33" t="inlineStr">
        <is>
          <t>valid_to</t>
        </is>
      </c>
      <c r="G1" s="33" t="inlineStr">
        <is>
          <t>min_order_stems</t>
        </is>
      </c>
    </row>
    <row r="2" ht="15" customHeight="1" s="22">
      <c r="A2" s="34" t="inlineStr">
        <is>
          <t>SIAN</t>
        </is>
      </c>
      <c r="B2" s="34" t="inlineStr">
        <is>
          <t>ROS-RN-A1-70</t>
        </is>
      </c>
      <c r="C2" s="34" t="inlineStr">
        <is>
          <t>USD</t>
        </is>
      </c>
      <c r="D2" s="34" t="n">
        <v>0.25</v>
      </c>
      <c r="E2" s="39" t="n">
        <v>46296</v>
      </c>
      <c r="F2" s="39" t="n">
        <v>46387</v>
      </c>
      <c r="G2" s="34" t="n"/>
    </row>
  </sheetData>
  <autoFilter ref="A1:G1"/>
  <dataValidations count="5">
    <dataValidation sqref="D2:D500" showDropDown="0" showInputMessage="0" showErrorMessage="1" allowBlank="0" error="Enter a number of zero or more." type="decimal" errorStyle="stop" operator="greaterThanOrEqual">
      <formula1>0</formula1>
      <formula2>0</formula2>
    </dataValidation>
    <dataValidation sqref="C2:C500" showDropDown="0" showInputMessage="0" showErrorMessage="1" allowBlank="0" errorTitle="Not in list" error="Pick a value from the Currency list." type="list" errorStyle="stop" operator="between">
      <formula1>Lists!$A$2:$A$4</formula1>
      <formula2>0</formula2>
    </dataValidation>
    <dataValidation sqref="E2:E500" showDropDown="0" showInputMessage="0" showErrorMessage="1" allowBlank="0" error="Enter a date (YYYY-MM-DD)." type="date" errorStyle="stop" operator="greaterThan">
      <formula1>DATE(2020,1,1)</formula1>
      <formula2>0</formula2>
    </dataValidation>
    <dataValidation sqref="F2:F500" showDropDown="0" showInputMessage="0" showErrorMessage="1" allowBlank="1" error="Enter a date (YYYY-MM-DD)." type="date" errorStyle="stop" operator="greaterThan">
      <formula1>DATE(2020,1,1)</formula1>
      <formula2>0</formula2>
    </dataValidation>
    <dataValidation sqref="G2:G500" showDropDown="0" showInputMessage="0" showErrorMessage="1" allowBlank="1" error="Enter a whole number of 1 or more." type="whole" errorStyle="stop" operator="greaterThanOrEqual">
      <formula1>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I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21" min="1" max="1"/>
    <col width="25" customWidth="1" style="21" min="2" max="2"/>
    <col width="22" customWidth="1" style="21" min="3" max="3"/>
    <col width="14" customWidth="1" style="21" min="4" max="4"/>
    <col width="17" customWidth="1" style="21" min="5" max="5"/>
    <col width="16" customWidth="1" style="21" min="6" max="6"/>
    <col width="21" customWidth="1" style="21" min="7" max="7"/>
    <col width="16" customWidth="1" style="21" min="8" max="8"/>
    <col width="14" customWidth="1" style="21" min="9" max="9"/>
  </cols>
  <sheetData>
    <row r="1" ht="31.5" customHeight="1" s="22">
      <c r="A1" s="32" t="inlineStr">
        <is>
          <t>origin_airport *</t>
        </is>
      </c>
      <c r="B1" s="32" t="inlineStr">
        <is>
          <t>destination_airport *</t>
        </is>
      </c>
      <c r="C1" s="33" t="inlineStr">
        <is>
          <t>airline_or_agent</t>
        </is>
      </c>
      <c r="D1" s="32" t="inlineStr">
        <is>
          <t>currency *</t>
        </is>
      </c>
      <c r="E1" s="32" t="inlineStr">
        <is>
          <t>rate_per_kg *</t>
        </is>
      </c>
      <c r="F1" s="33" t="inlineStr">
        <is>
          <t>min_charge</t>
        </is>
      </c>
      <c r="G1" s="33" t="inlineStr">
        <is>
          <t>weight_break_kg</t>
        </is>
      </c>
      <c r="H1" s="32" t="inlineStr">
        <is>
          <t>valid_from *</t>
        </is>
      </c>
      <c r="I1" s="33" t="inlineStr">
        <is>
          <t>valid_to</t>
        </is>
      </c>
    </row>
    <row r="2" ht="15" customHeight="1" s="22">
      <c r="A2" s="34" t="inlineStr">
        <is>
          <t>NBO</t>
        </is>
      </c>
      <c r="B2" s="34" t="inlineStr">
        <is>
          <t>AMS</t>
        </is>
      </c>
      <c r="C2" s="34" t="inlineStr">
        <is>
          <t>Example Airline</t>
        </is>
      </c>
      <c r="D2" s="34" t="inlineStr">
        <is>
          <t>USD</t>
        </is>
      </c>
      <c r="E2" s="34" t="n">
        <v>3.1</v>
      </c>
      <c r="F2" s="34" t="n">
        <v>150</v>
      </c>
      <c r="G2" s="34" t="n">
        <v>100</v>
      </c>
      <c r="H2" s="39" t="n">
        <v>46296</v>
      </c>
      <c r="I2" s="39" t="n"/>
    </row>
  </sheetData>
  <autoFilter ref="A1:I1"/>
  <dataValidations count="5">
    <dataValidation sqref="F2:G500" showDropDown="0" showInputMessage="0" showErrorMessage="1" allowBlank="1" error="Enter a number of zero or more." type="decimal" errorStyle="stop" operator="greaterThanOrEqual">
      <formula1>0</formula1>
      <formula2>0</formula2>
    </dataValidation>
    <dataValidation sqref="E2:E500" showDropDown="0" showInputMessage="0" showErrorMessage="1" allowBlank="0" error="Enter a number of zero or more." type="decimal" errorStyle="stop" operator="greaterThanOrEqual">
      <formula1>0</formula1>
      <formula2>0</formula2>
    </dataValidation>
    <dataValidation sqref="D2:D500" showDropDown="0" showInputMessage="0" showErrorMessage="1" allowBlank="0" errorTitle="Not in list" error="Pick a value from the Currency list." type="list" errorStyle="stop" operator="between">
      <formula1>Lists!$A$2:$A$4</formula1>
      <formula2>0</formula2>
    </dataValidation>
    <dataValidation sqref="H2:H500" showDropDown="0" showInputMessage="0" showErrorMessage="1" allowBlank="0" error="Enter a date (YYYY-MM-DD)." type="date" errorStyle="stop" operator="greaterThan">
      <formula1>DATE(2020,1,1)</formula1>
      <formula2>0</formula2>
    </dataValidation>
    <dataValidation sqref="I2:I500" showDropDown="0" showInputMessage="0" showErrorMessage="1" allowBlank="1" error="Enter a date (YYYY-MM-DD)." type="date" errorStyle="stop" operator="greaterThan">
      <formula1>DATE(2020,1,1)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O50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21" min="1" max="1"/>
    <col width="14" customWidth="1" style="21" min="2" max="3"/>
    <col width="19" customWidth="1" style="21" min="4" max="4"/>
    <col width="15" customWidth="1" style="21" min="5" max="6"/>
    <col width="18" customWidth="1" style="21" min="7" max="7"/>
    <col width="14" customWidth="1" style="21" min="8" max="9"/>
    <col width="21" customWidth="1" style="21" min="10" max="10"/>
    <col width="17" customWidth="1" style="21" min="11" max="11"/>
    <col width="14" customWidth="1" style="21" min="12" max="13"/>
    <col width="26" customWidth="1" style="21" min="14" max="14"/>
    <col width="14" customWidth="1" style="21" min="15" max="15"/>
  </cols>
  <sheetData>
    <row r="1" ht="31.5" customHeight="1" s="22">
      <c r="A1" s="32" t="inlineStr">
        <is>
          <t>shipment_ref *</t>
        </is>
      </c>
      <c r="B1" s="33" t="inlineStr">
        <is>
          <t>awb</t>
        </is>
      </c>
      <c r="C1" s="33" t="inlineStr">
        <is>
          <t>hawb</t>
        </is>
      </c>
      <c r="D1" s="32" t="inlineStr">
        <is>
          <t>customer_code *</t>
        </is>
      </c>
      <c r="E1" s="32" t="inlineStr">
        <is>
          <t>farm_code *</t>
        </is>
      </c>
      <c r="F1" s="33" t="inlineStr">
        <is>
          <t>po_number</t>
        </is>
      </c>
      <c r="G1" s="32" t="inlineStr">
        <is>
          <t>product_code *</t>
        </is>
      </c>
      <c r="H1" s="32" t="inlineStr">
        <is>
          <t>box_code *</t>
        </is>
      </c>
      <c r="I1" s="32" t="inlineStr">
        <is>
          <t>boxes *</t>
        </is>
      </c>
      <c r="J1" s="33" t="inlineStr">
        <is>
          <t>bunches_per_box</t>
        </is>
      </c>
      <c r="K1" s="33" t="inlineStr">
        <is>
          <t>total_stems</t>
        </is>
      </c>
      <c r="L1" s="33" t="inlineStr">
        <is>
          <t>box_from</t>
        </is>
      </c>
      <c r="M1" s="33" t="inlineStr">
        <is>
          <t>box_to</t>
        </is>
      </c>
      <c r="N1" s="33" t="inlineStr">
        <is>
          <t>shipment_total_boxes</t>
        </is>
      </c>
      <c r="O1" s="33" t="inlineStr">
        <is>
          <t>notes</t>
        </is>
      </c>
    </row>
    <row r="2" ht="15" customHeight="1" s="22">
      <c r="A2" s="34" t="inlineStr">
        <is>
          <t>SHP-2026-0001</t>
        </is>
      </c>
      <c r="B2" s="34" t="inlineStr">
        <is>
          <t>706-00000000</t>
        </is>
      </c>
      <c r="C2" s="34" t="n"/>
      <c r="D2" s="34" t="inlineStr">
        <is>
          <t>FDAMS</t>
        </is>
      </c>
      <c r="E2" s="34" t="inlineStr">
        <is>
          <t>SIAN</t>
        </is>
      </c>
      <c r="F2" s="34" t="inlineStr">
        <is>
          <t>PO-2026-0001</t>
        </is>
      </c>
      <c r="G2" s="34" t="inlineStr">
        <is>
          <t>ROS-RN-A1-70</t>
        </is>
      </c>
      <c r="H2" s="34" t="inlineStr">
        <is>
          <t>QB</t>
        </is>
      </c>
      <c r="I2" s="34" t="n">
        <v>12</v>
      </c>
      <c r="J2" s="37">
        <f>IF(G2="","",IFERROR(INDEX(PackRates!$C:$C,MATCH(1,INDEX((PackRates!$A$1:$A$500=G2)*(PackRates!$B$1:$B$500=H2),0),0)),""))</f>
        <v/>
      </c>
      <c r="K2" s="37">
        <f>IF(OR(I2="",J2=""),"",IFERROR(I2*J2*INDEX(Products!$K:$K,MATCH(G2,Products!$A:$A,0)),""))</f>
        <v/>
      </c>
      <c r="L2" s="37">
        <f>IF(A2="","",1)</f>
        <v/>
      </c>
      <c r="M2" s="37">
        <f>IF(OR(L2="",I2=""),"",L2+I2-1)</f>
        <v/>
      </c>
      <c r="N2" s="37">
        <f>IF(A2="","",SUMIF($A$2:$A$500,A2,$I$2:$I$500))</f>
        <v/>
      </c>
      <c r="O2" s="34" t="n"/>
    </row>
    <row r="3" ht="15" customHeight="1" s="22">
      <c r="J3" s="38">
        <f>IF(G3="","",IFERROR(INDEX(PackRates!$C:$C,MATCH(1,INDEX((PackRates!$A$1:$A$500=G3)*(PackRates!$B$1:$B$500=H3),0),0)),""))</f>
        <v/>
      </c>
      <c r="K3" s="38">
        <f>IF(OR(I3="",J3=""),"",IFERROR(I3*J3*INDEX(Products!$K:$K,MATCH(G3,Products!$A:$A,0)),""))</f>
        <v/>
      </c>
      <c r="L3" s="38">
        <f>IF(A3="","",IF(A3=A2,M2+1,1))</f>
        <v/>
      </c>
      <c r="M3" s="38">
        <f>IF(OR(L3="",I3=""),"",L3+I3-1)</f>
        <v/>
      </c>
      <c r="N3" s="38">
        <f>IF(A3="","",SUMIF($A$2:$A$500,A3,$I$2:$I$500))</f>
        <v/>
      </c>
    </row>
    <row r="4" ht="15" customHeight="1" s="22">
      <c r="J4" s="38">
        <f>IF(G4="","",IFERROR(INDEX(PackRates!$C:$C,MATCH(1,INDEX((PackRates!$A$1:$A$500=G4)*(PackRates!$B$1:$B$500=H4),0),0)),""))</f>
        <v/>
      </c>
      <c r="K4" s="38">
        <f>IF(OR(I4="",J4=""),"",IFERROR(I4*J4*INDEX(Products!$K:$K,MATCH(G4,Products!$A:$A,0)),""))</f>
        <v/>
      </c>
      <c r="L4" s="38">
        <f>IF(A4="","",IF(A4=A3,M3+1,1))</f>
        <v/>
      </c>
      <c r="M4" s="38">
        <f>IF(OR(L4="",I4=""),"",L4+I4-1)</f>
        <v/>
      </c>
      <c r="N4" s="38">
        <f>IF(A4="","",SUMIF($A$2:$A$500,A4,$I$2:$I$500))</f>
        <v/>
      </c>
    </row>
    <row r="5" ht="15" customHeight="1" s="22">
      <c r="J5" s="38">
        <f>IF(G5="","",IFERROR(INDEX(PackRates!$C:$C,MATCH(1,INDEX((PackRates!$A$1:$A$500=G5)*(PackRates!$B$1:$B$500=H5),0),0)),""))</f>
        <v/>
      </c>
      <c r="K5" s="38">
        <f>IF(OR(I5="",J5=""),"",IFERROR(I5*J5*INDEX(Products!$K:$K,MATCH(G5,Products!$A:$A,0)),""))</f>
        <v/>
      </c>
      <c r="L5" s="38">
        <f>IF(A5="","",IF(A5=A4,M4+1,1))</f>
        <v/>
      </c>
      <c r="M5" s="38">
        <f>IF(OR(L5="",I5=""),"",L5+I5-1)</f>
        <v/>
      </c>
      <c r="N5" s="38">
        <f>IF(A5="","",SUMIF($A$2:$A$500,A5,$I$2:$I$500))</f>
        <v/>
      </c>
    </row>
    <row r="6" ht="15" customHeight="1" s="22">
      <c r="J6" s="38">
        <f>IF(G6="","",IFERROR(INDEX(PackRates!$C:$C,MATCH(1,INDEX((PackRates!$A$1:$A$500=G6)*(PackRates!$B$1:$B$500=H6),0),0)),""))</f>
        <v/>
      </c>
      <c r="K6" s="38">
        <f>IF(OR(I6="",J6=""),"",IFERROR(I6*J6*INDEX(Products!$K:$K,MATCH(G6,Products!$A:$A,0)),""))</f>
        <v/>
      </c>
      <c r="L6" s="38">
        <f>IF(A6="","",IF(A6=A5,M5+1,1))</f>
        <v/>
      </c>
      <c r="M6" s="38">
        <f>IF(OR(L6="",I6=""),"",L6+I6-1)</f>
        <v/>
      </c>
      <c r="N6" s="38">
        <f>IF(A6="","",SUMIF($A$2:$A$500,A6,$I$2:$I$500))</f>
        <v/>
      </c>
    </row>
    <row r="7" ht="15" customHeight="1" s="22">
      <c r="J7" s="38">
        <f>IF(G7="","",IFERROR(INDEX(PackRates!$C:$C,MATCH(1,INDEX((PackRates!$A$1:$A$500=G7)*(PackRates!$B$1:$B$500=H7),0),0)),""))</f>
        <v/>
      </c>
      <c r="K7" s="38">
        <f>IF(OR(I7="",J7=""),"",IFERROR(I7*J7*INDEX(Products!$K:$K,MATCH(G7,Products!$A:$A,0)),""))</f>
        <v/>
      </c>
      <c r="L7" s="38">
        <f>IF(A7="","",IF(A7=A6,M6+1,1))</f>
        <v/>
      </c>
      <c r="M7" s="38">
        <f>IF(OR(L7="",I7=""),"",L7+I7-1)</f>
        <v/>
      </c>
      <c r="N7" s="38">
        <f>IF(A7="","",SUMIF($A$2:$A$500,A7,$I$2:$I$500))</f>
        <v/>
      </c>
    </row>
    <row r="8" ht="15" customHeight="1" s="22">
      <c r="J8" s="38">
        <f>IF(G8="","",IFERROR(INDEX(PackRates!$C:$C,MATCH(1,INDEX((PackRates!$A$1:$A$500=G8)*(PackRates!$B$1:$B$500=H8),0),0)),""))</f>
        <v/>
      </c>
      <c r="K8" s="38">
        <f>IF(OR(I8="",J8=""),"",IFERROR(I8*J8*INDEX(Products!$K:$K,MATCH(G8,Products!$A:$A,0)),""))</f>
        <v/>
      </c>
      <c r="L8" s="38">
        <f>IF(A8="","",IF(A8=A7,M7+1,1))</f>
        <v/>
      </c>
      <c r="M8" s="38">
        <f>IF(OR(L8="",I8=""),"",L8+I8-1)</f>
        <v/>
      </c>
      <c r="N8" s="38">
        <f>IF(A8="","",SUMIF($A$2:$A$500,A8,$I$2:$I$500))</f>
        <v/>
      </c>
    </row>
    <row r="9" ht="15" customHeight="1" s="22">
      <c r="J9" s="38">
        <f>IF(G9="","",IFERROR(INDEX(PackRates!$C:$C,MATCH(1,INDEX((PackRates!$A$1:$A$500=G9)*(PackRates!$B$1:$B$500=H9),0),0)),""))</f>
        <v/>
      </c>
      <c r="K9" s="38">
        <f>IF(OR(I9="",J9=""),"",IFERROR(I9*J9*INDEX(Products!$K:$K,MATCH(G9,Products!$A:$A,0)),""))</f>
        <v/>
      </c>
      <c r="L9" s="38">
        <f>IF(A9="","",IF(A9=A8,M8+1,1))</f>
        <v/>
      </c>
      <c r="M9" s="38">
        <f>IF(OR(L9="",I9=""),"",L9+I9-1)</f>
        <v/>
      </c>
      <c r="N9" s="38">
        <f>IF(A9="","",SUMIF($A$2:$A$500,A9,$I$2:$I$500))</f>
        <v/>
      </c>
    </row>
    <row r="10" ht="15" customHeight="1" s="22">
      <c r="J10" s="38">
        <f>IF(G10="","",IFERROR(INDEX(PackRates!$C:$C,MATCH(1,INDEX((PackRates!$A$1:$A$500=G10)*(PackRates!$B$1:$B$500=H10),0),0)),""))</f>
        <v/>
      </c>
      <c r="K10" s="38">
        <f>IF(OR(I10="",J10=""),"",IFERROR(I10*J10*INDEX(Products!$K:$K,MATCH(G10,Products!$A:$A,0)),""))</f>
        <v/>
      </c>
      <c r="L10" s="38">
        <f>IF(A10="","",IF(A10=A9,M9+1,1))</f>
        <v/>
      </c>
      <c r="M10" s="38">
        <f>IF(OR(L10="",I10=""),"",L10+I10-1)</f>
        <v/>
      </c>
      <c r="N10" s="38">
        <f>IF(A10="","",SUMIF($A$2:$A$500,A10,$I$2:$I$500))</f>
        <v/>
      </c>
    </row>
    <row r="11" ht="15" customHeight="1" s="22">
      <c r="J11" s="38">
        <f>IF(G11="","",IFERROR(INDEX(PackRates!$C:$C,MATCH(1,INDEX((PackRates!$A$1:$A$500=G11)*(PackRates!$B$1:$B$500=H11),0),0)),""))</f>
        <v/>
      </c>
      <c r="K11" s="38">
        <f>IF(OR(I11="",J11=""),"",IFERROR(I11*J11*INDEX(Products!$K:$K,MATCH(G11,Products!$A:$A,0)),""))</f>
        <v/>
      </c>
      <c r="L11" s="38">
        <f>IF(A11="","",IF(A11=A10,M10+1,1))</f>
        <v/>
      </c>
      <c r="M11" s="38">
        <f>IF(OR(L11="",I11=""),"",L11+I11-1)</f>
        <v/>
      </c>
      <c r="N11" s="38">
        <f>IF(A11="","",SUMIF($A$2:$A$500,A11,$I$2:$I$500))</f>
        <v/>
      </c>
    </row>
    <row r="12" ht="15" customHeight="1" s="22">
      <c r="J12" s="38">
        <f>IF(G12="","",IFERROR(INDEX(PackRates!$C:$C,MATCH(1,INDEX((PackRates!$A$1:$A$500=G12)*(PackRates!$B$1:$B$500=H12),0),0)),""))</f>
        <v/>
      </c>
      <c r="K12" s="38">
        <f>IF(OR(I12="",J12=""),"",IFERROR(I12*J12*INDEX(Products!$K:$K,MATCH(G12,Products!$A:$A,0)),""))</f>
        <v/>
      </c>
      <c r="L12" s="38">
        <f>IF(A12="","",IF(A12=A11,M11+1,1))</f>
        <v/>
      </c>
      <c r="M12" s="38">
        <f>IF(OR(L12="",I12=""),"",L12+I12-1)</f>
        <v/>
      </c>
      <c r="N12" s="38">
        <f>IF(A12="","",SUMIF($A$2:$A$500,A12,$I$2:$I$500))</f>
        <v/>
      </c>
    </row>
    <row r="13" ht="15" customHeight="1" s="22">
      <c r="J13" s="38">
        <f>IF(G13="","",IFERROR(INDEX(PackRates!$C:$C,MATCH(1,INDEX((PackRates!$A$1:$A$500=G13)*(PackRates!$B$1:$B$500=H13),0),0)),""))</f>
        <v/>
      </c>
      <c r="K13" s="38">
        <f>IF(OR(I13="",J13=""),"",IFERROR(I13*J13*INDEX(Products!$K:$K,MATCH(G13,Products!$A:$A,0)),""))</f>
        <v/>
      </c>
      <c r="L13" s="38">
        <f>IF(A13="","",IF(A13=A12,M12+1,1))</f>
        <v/>
      </c>
      <c r="M13" s="38">
        <f>IF(OR(L13="",I13=""),"",L13+I13-1)</f>
        <v/>
      </c>
      <c r="N13" s="38">
        <f>IF(A13="","",SUMIF($A$2:$A$500,A13,$I$2:$I$500))</f>
        <v/>
      </c>
    </row>
    <row r="14" ht="15" customHeight="1" s="22">
      <c r="J14" s="38">
        <f>IF(G14="","",IFERROR(INDEX(PackRates!$C:$C,MATCH(1,INDEX((PackRates!$A$1:$A$500=G14)*(PackRates!$B$1:$B$500=H14),0),0)),""))</f>
        <v/>
      </c>
      <c r="K14" s="38">
        <f>IF(OR(I14="",J14=""),"",IFERROR(I14*J14*INDEX(Products!$K:$K,MATCH(G14,Products!$A:$A,0)),""))</f>
        <v/>
      </c>
      <c r="L14" s="38">
        <f>IF(A14="","",IF(A14=A13,M13+1,1))</f>
        <v/>
      </c>
      <c r="M14" s="38">
        <f>IF(OR(L14="",I14=""),"",L14+I14-1)</f>
        <v/>
      </c>
      <c r="N14" s="38">
        <f>IF(A14="","",SUMIF($A$2:$A$500,A14,$I$2:$I$500))</f>
        <v/>
      </c>
    </row>
    <row r="15" ht="15" customHeight="1" s="22">
      <c r="J15" s="38">
        <f>IF(G15="","",IFERROR(INDEX(PackRates!$C:$C,MATCH(1,INDEX((PackRates!$A$1:$A$500=G15)*(PackRates!$B$1:$B$500=H15),0),0)),""))</f>
        <v/>
      </c>
      <c r="K15" s="38">
        <f>IF(OR(I15="",J15=""),"",IFERROR(I15*J15*INDEX(Products!$K:$K,MATCH(G15,Products!$A:$A,0)),""))</f>
        <v/>
      </c>
      <c r="L15" s="38">
        <f>IF(A15="","",IF(A15=A14,M14+1,1))</f>
        <v/>
      </c>
      <c r="M15" s="38">
        <f>IF(OR(L15="",I15=""),"",L15+I15-1)</f>
        <v/>
      </c>
      <c r="N15" s="38">
        <f>IF(A15="","",SUMIF($A$2:$A$500,A15,$I$2:$I$500))</f>
        <v/>
      </c>
    </row>
    <row r="16" ht="15" customHeight="1" s="22">
      <c r="J16" s="38">
        <f>IF(G16="","",IFERROR(INDEX(PackRates!$C:$C,MATCH(1,INDEX((PackRates!$A$1:$A$500=G16)*(PackRates!$B$1:$B$500=H16),0),0)),""))</f>
        <v/>
      </c>
      <c r="K16" s="38">
        <f>IF(OR(I16="",J16=""),"",IFERROR(I16*J16*INDEX(Products!$K:$K,MATCH(G16,Products!$A:$A,0)),""))</f>
        <v/>
      </c>
      <c r="L16" s="38">
        <f>IF(A16="","",IF(A16=A15,M15+1,1))</f>
        <v/>
      </c>
      <c r="M16" s="38">
        <f>IF(OR(L16="",I16=""),"",L16+I16-1)</f>
        <v/>
      </c>
      <c r="N16" s="38">
        <f>IF(A16="","",SUMIF($A$2:$A$500,A16,$I$2:$I$500))</f>
        <v/>
      </c>
    </row>
    <row r="17" ht="15" customHeight="1" s="22">
      <c r="J17" s="38">
        <f>IF(G17="","",IFERROR(INDEX(PackRates!$C:$C,MATCH(1,INDEX((PackRates!$A$1:$A$500=G17)*(PackRates!$B$1:$B$500=H17),0),0)),""))</f>
        <v/>
      </c>
      <c r="K17" s="38">
        <f>IF(OR(I17="",J17=""),"",IFERROR(I17*J17*INDEX(Products!$K:$K,MATCH(G17,Products!$A:$A,0)),""))</f>
        <v/>
      </c>
      <c r="L17" s="38">
        <f>IF(A17="","",IF(A17=A16,M16+1,1))</f>
        <v/>
      </c>
      <c r="M17" s="38">
        <f>IF(OR(L17="",I17=""),"",L17+I17-1)</f>
        <v/>
      </c>
      <c r="N17" s="38">
        <f>IF(A17="","",SUMIF($A$2:$A$500,A17,$I$2:$I$500))</f>
        <v/>
      </c>
    </row>
    <row r="18" ht="15" customHeight="1" s="22">
      <c r="J18" s="38">
        <f>IF(G18="","",IFERROR(INDEX(PackRates!$C:$C,MATCH(1,INDEX((PackRates!$A$1:$A$500=G18)*(PackRates!$B$1:$B$500=H18),0),0)),""))</f>
        <v/>
      </c>
      <c r="K18" s="38">
        <f>IF(OR(I18="",J18=""),"",IFERROR(I18*J18*INDEX(Products!$K:$K,MATCH(G18,Products!$A:$A,0)),""))</f>
        <v/>
      </c>
      <c r="L18" s="38">
        <f>IF(A18="","",IF(A18=A17,M17+1,1))</f>
        <v/>
      </c>
      <c r="M18" s="38">
        <f>IF(OR(L18="",I18=""),"",L18+I18-1)</f>
        <v/>
      </c>
      <c r="N18" s="38">
        <f>IF(A18="","",SUMIF($A$2:$A$500,A18,$I$2:$I$500))</f>
        <v/>
      </c>
    </row>
    <row r="19" ht="15" customHeight="1" s="22">
      <c r="J19" s="38">
        <f>IF(G19="","",IFERROR(INDEX(PackRates!$C:$C,MATCH(1,INDEX((PackRates!$A$1:$A$500=G19)*(PackRates!$B$1:$B$500=H19),0),0)),""))</f>
        <v/>
      </c>
      <c r="K19" s="38">
        <f>IF(OR(I19="",J19=""),"",IFERROR(I19*J19*INDEX(Products!$K:$K,MATCH(G19,Products!$A:$A,0)),""))</f>
        <v/>
      </c>
      <c r="L19" s="38">
        <f>IF(A19="","",IF(A19=A18,M18+1,1))</f>
        <v/>
      </c>
      <c r="M19" s="38">
        <f>IF(OR(L19="",I19=""),"",L19+I19-1)</f>
        <v/>
      </c>
      <c r="N19" s="38">
        <f>IF(A19="","",SUMIF($A$2:$A$500,A19,$I$2:$I$500))</f>
        <v/>
      </c>
    </row>
    <row r="20" ht="15" customHeight="1" s="22">
      <c r="J20" s="38">
        <f>IF(G20="","",IFERROR(INDEX(PackRates!$C:$C,MATCH(1,INDEX((PackRates!$A$1:$A$500=G20)*(PackRates!$B$1:$B$500=H20),0),0)),""))</f>
        <v/>
      </c>
      <c r="K20" s="38">
        <f>IF(OR(I20="",J20=""),"",IFERROR(I20*J20*INDEX(Products!$K:$K,MATCH(G20,Products!$A:$A,0)),""))</f>
        <v/>
      </c>
      <c r="L20" s="38">
        <f>IF(A20="","",IF(A20=A19,M19+1,1))</f>
        <v/>
      </c>
      <c r="M20" s="38">
        <f>IF(OR(L20="",I20=""),"",L20+I20-1)</f>
        <v/>
      </c>
      <c r="N20" s="38">
        <f>IF(A20="","",SUMIF($A$2:$A$500,A20,$I$2:$I$500))</f>
        <v/>
      </c>
    </row>
    <row r="21" ht="15" customHeight="1" s="22">
      <c r="J21" s="38">
        <f>IF(G21="","",IFERROR(INDEX(PackRates!$C:$C,MATCH(1,INDEX((PackRates!$A$1:$A$500=G21)*(PackRates!$B$1:$B$500=H21),0),0)),""))</f>
        <v/>
      </c>
      <c r="K21" s="38">
        <f>IF(OR(I21="",J21=""),"",IFERROR(I21*J21*INDEX(Products!$K:$K,MATCH(G21,Products!$A:$A,0)),""))</f>
        <v/>
      </c>
      <c r="L21" s="38">
        <f>IF(A21="","",IF(A21=A20,M20+1,1))</f>
        <v/>
      </c>
      <c r="M21" s="38">
        <f>IF(OR(L21="",I21=""),"",L21+I21-1)</f>
        <v/>
      </c>
      <c r="N21" s="38">
        <f>IF(A21="","",SUMIF($A$2:$A$500,A21,$I$2:$I$500))</f>
        <v/>
      </c>
    </row>
    <row r="22" ht="15" customHeight="1" s="22">
      <c r="J22" s="38">
        <f>IF(G22="","",IFERROR(INDEX(PackRates!$C:$C,MATCH(1,INDEX((PackRates!$A$1:$A$500=G22)*(PackRates!$B$1:$B$500=H22),0),0)),""))</f>
        <v/>
      </c>
      <c r="K22" s="38">
        <f>IF(OR(I22="",J22=""),"",IFERROR(I22*J22*INDEX(Products!$K:$K,MATCH(G22,Products!$A:$A,0)),""))</f>
        <v/>
      </c>
      <c r="L22" s="38">
        <f>IF(A22="","",IF(A22=A21,M21+1,1))</f>
        <v/>
      </c>
      <c r="M22" s="38">
        <f>IF(OR(L22="",I22=""),"",L22+I22-1)</f>
        <v/>
      </c>
      <c r="N22" s="38">
        <f>IF(A22="","",SUMIF($A$2:$A$500,A22,$I$2:$I$500))</f>
        <v/>
      </c>
    </row>
    <row r="23" ht="15" customHeight="1" s="22">
      <c r="J23" s="38">
        <f>IF(G23="","",IFERROR(INDEX(PackRates!$C:$C,MATCH(1,INDEX((PackRates!$A$1:$A$500=G23)*(PackRates!$B$1:$B$500=H23),0),0)),""))</f>
        <v/>
      </c>
      <c r="K23" s="38">
        <f>IF(OR(I23="",J23=""),"",IFERROR(I23*J23*INDEX(Products!$K:$K,MATCH(G23,Products!$A:$A,0)),""))</f>
        <v/>
      </c>
      <c r="L23" s="38">
        <f>IF(A23="","",IF(A23=A22,M22+1,1))</f>
        <v/>
      </c>
      <c r="M23" s="38">
        <f>IF(OR(L23="",I23=""),"",L23+I23-1)</f>
        <v/>
      </c>
      <c r="N23" s="38">
        <f>IF(A23="","",SUMIF($A$2:$A$500,A23,$I$2:$I$500))</f>
        <v/>
      </c>
    </row>
    <row r="24" ht="15" customHeight="1" s="22">
      <c r="J24" s="38">
        <f>IF(G24="","",IFERROR(INDEX(PackRates!$C:$C,MATCH(1,INDEX((PackRates!$A$1:$A$500=G24)*(PackRates!$B$1:$B$500=H24),0),0)),""))</f>
        <v/>
      </c>
      <c r="K24" s="38">
        <f>IF(OR(I24="",J24=""),"",IFERROR(I24*J24*INDEX(Products!$K:$K,MATCH(G24,Products!$A:$A,0)),""))</f>
        <v/>
      </c>
      <c r="L24" s="38">
        <f>IF(A24="","",IF(A24=A23,M23+1,1))</f>
        <v/>
      </c>
      <c r="M24" s="38">
        <f>IF(OR(L24="",I24=""),"",L24+I24-1)</f>
        <v/>
      </c>
      <c r="N24" s="38">
        <f>IF(A24="","",SUMIF($A$2:$A$500,A24,$I$2:$I$500))</f>
        <v/>
      </c>
    </row>
    <row r="25" ht="15" customHeight="1" s="22">
      <c r="J25" s="38">
        <f>IF(G25="","",IFERROR(INDEX(PackRates!$C:$C,MATCH(1,INDEX((PackRates!$A$1:$A$500=G25)*(PackRates!$B$1:$B$500=H25),0),0)),""))</f>
        <v/>
      </c>
      <c r="K25" s="38">
        <f>IF(OR(I25="",J25=""),"",IFERROR(I25*J25*INDEX(Products!$K:$K,MATCH(G25,Products!$A:$A,0)),""))</f>
        <v/>
      </c>
      <c r="L25" s="38">
        <f>IF(A25="","",IF(A25=A24,M24+1,1))</f>
        <v/>
      </c>
      <c r="M25" s="38">
        <f>IF(OR(L25="",I25=""),"",L25+I25-1)</f>
        <v/>
      </c>
      <c r="N25" s="38">
        <f>IF(A25="","",SUMIF($A$2:$A$500,A25,$I$2:$I$500))</f>
        <v/>
      </c>
    </row>
    <row r="26" ht="15" customHeight="1" s="22">
      <c r="J26" s="38">
        <f>IF(G26="","",IFERROR(INDEX(PackRates!$C:$C,MATCH(1,INDEX((PackRates!$A$1:$A$500=G26)*(PackRates!$B$1:$B$500=H26),0),0)),""))</f>
        <v/>
      </c>
      <c r="K26" s="38">
        <f>IF(OR(I26="",J26=""),"",IFERROR(I26*J26*INDEX(Products!$K:$K,MATCH(G26,Products!$A:$A,0)),""))</f>
        <v/>
      </c>
      <c r="L26" s="38">
        <f>IF(A26="","",IF(A26=A25,M25+1,1))</f>
        <v/>
      </c>
      <c r="M26" s="38">
        <f>IF(OR(L26="",I26=""),"",L26+I26-1)</f>
        <v/>
      </c>
      <c r="N26" s="38">
        <f>IF(A26="","",SUMIF($A$2:$A$500,A26,$I$2:$I$500))</f>
        <v/>
      </c>
    </row>
    <row r="27" ht="15" customHeight="1" s="22">
      <c r="J27" s="38">
        <f>IF(G27="","",IFERROR(INDEX(PackRates!$C:$C,MATCH(1,INDEX((PackRates!$A$1:$A$500=G27)*(PackRates!$B$1:$B$500=H27),0),0)),""))</f>
        <v/>
      </c>
      <c r="K27" s="38">
        <f>IF(OR(I27="",J27=""),"",IFERROR(I27*J27*INDEX(Products!$K:$K,MATCH(G27,Products!$A:$A,0)),""))</f>
        <v/>
      </c>
      <c r="L27" s="38">
        <f>IF(A27="","",IF(A27=A26,M26+1,1))</f>
        <v/>
      </c>
      <c r="M27" s="38">
        <f>IF(OR(L27="",I27=""),"",L27+I27-1)</f>
        <v/>
      </c>
      <c r="N27" s="38">
        <f>IF(A27="","",SUMIF($A$2:$A$500,A27,$I$2:$I$500))</f>
        <v/>
      </c>
    </row>
    <row r="28" ht="15" customHeight="1" s="22">
      <c r="J28" s="38">
        <f>IF(G28="","",IFERROR(INDEX(PackRates!$C:$C,MATCH(1,INDEX((PackRates!$A$1:$A$500=G28)*(PackRates!$B$1:$B$500=H28),0),0)),""))</f>
        <v/>
      </c>
      <c r="K28" s="38">
        <f>IF(OR(I28="",J28=""),"",IFERROR(I28*J28*INDEX(Products!$K:$K,MATCH(G28,Products!$A:$A,0)),""))</f>
        <v/>
      </c>
      <c r="L28" s="38">
        <f>IF(A28="","",IF(A28=A27,M27+1,1))</f>
        <v/>
      </c>
      <c r="M28" s="38">
        <f>IF(OR(L28="",I28=""),"",L28+I28-1)</f>
        <v/>
      </c>
      <c r="N28" s="38">
        <f>IF(A28="","",SUMIF($A$2:$A$500,A28,$I$2:$I$500))</f>
        <v/>
      </c>
    </row>
    <row r="29" ht="15" customHeight="1" s="22">
      <c r="J29" s="38">
        <f>IF(G29="","",IFERROR(INDEX(PackRates!$C:$C,MATCH(1,INDEX((PackRates!$A$1:$A$500=G29)*(PackRates!$B$1:$B$500=H29),0),0)),""))</f>
        <v/>
      </c>
      <c r="K29" s="38">
        <f>IF(OR(I29="",J29=""),"",IFERROR(I29*J29*INDEX(Products!$K:$K,MATCH(G29,Products!$A:$A,0)),""))</f>
        <v/>
      </c>
      <c r="L29" s="38">
        <f>IF(A29="","",IF(A29=A28,M28+1,1))</f>
        <v/>
      </c>
      <c r="M29" s="38">
        <f>IF(OR(L29="",I29=""),"",L29+I29-1)</f>
        <v/>
      </c>
      <c r="N29" s="38">
        <f>IF(A29="","",SUMIF($A$2:$A$500,A29,$I$2:$I$500))</f>
        <v/>
      </c>
    </row>
    <row r="30" ht="15" customHeight="1" s="22">
      <c r="J30" s="38">
        <f>IF(G30="","",IFERROR(INDEX(PackRates!$C:$C,MATCH(1,INDEX((PackRates!$A$1:$A$500=G30)*(PackRates!$B$1:$B$500=H30),0),0)),""))</f>
        <v/>
      </c>
      <c r="K30" s="38">
        <f>IF(OR(I30="",J30=""),"",IFERROR(I30*J30*INDEX(Products!$K:$K,MATCH(G30,Products!$A:$A,0)),""))</f>
        <v/>
      </c>
      <c r="L30" s="38">
        <f>IF(A30="","",IF(A30=A29,M29+1,1))</f>
        <v/>
      </c>
      <c r="M30" s="38">
        <f>IF(OR(L30="",I30=""),"",L30+I30-1)</f>
        <v/>
      </c>
      <c r="N30" s="38">
        <f>IF(A30="","",SUMIF($A$2:$A$500,A30,$I$2:$I$500))</f>
        <v/>
      </c>
    </row>
    <row r="31" ht="15" customHeight="1" s="22">
      <c r="J31" s="38">
        <f>IF(G31="","",IFERROR(INDEX(PackRates!$C:$C,MATCH(1,INDEX((PackRates!$A$1:$A$500=G31)*(PackRates!$B$1:$B$500=H31),0),0)),""))</f>
        <v/>
      </c>
      <c r="K31" s="38">
        <f>IF(OR(I31="",J31=""),"",IFERROR(I31*J31*INDEX(Products!$K:$K,MATCH(G31,Products!$A:$A,0)),""))</f>
        <v/>
      </c>
      <c r="L31" s="38">
        <f>IF(A31="","",IF(A31=A30,M30+1,1))</f>
        <v/>
      </c>
      <c r="M31" s="38">
        <f>IF(OR(L31="",I31=""),"",L31+I31-1)</f>
        <v/>
      </c>
      <c r="N31" s="38">
        <f>IF(A31="","",SUMIF($A$2:$A$500,A31,$I$2:$I$500))</f>
        <v/>
      </c>
    </row>
    <row r="32" ht="15" customHeight="1" s="22">
      <c r="J32" s="38">
        <f>IF(G32="","",IFERROR(INDEX(PackRates!$C:$C,MATCH(1,INDEX((PackRates!$A$1:$A$500=G32)*(PackRates!$B$1:$B$500=H32),0),0)),""))</f>
        <v/>
      </c>
      <c r="K32" s="38">
        <f>IF(OR(I32="",J32=""),"",IFERROR(I32*J32*INDEX(Products!$K:$K,MATCH(G32,Products!$A:$A,0)),""))</f>
        <v/>
      </c>
      <c r="L32" s="38">
        <f>IF(A32="","",IF(A32=A31,M31+1,1))</f>
        <v/>
      </c>
      <c r="M32" s="38">
        <f>IF(OR(L32="",I32=""),"",L32+I32-1)</f>
        <v/>
      </c>
      <c r="N32" s="38">
        <f>IF(A32="","",SUMIF($A$2:$A$500,A32,$I$2:$I$500))</f>
        <v/>
      </c>
    </row>
    <row r="33" ht="15" customHeight="1" s="22">
      <c r="J33" s="38">
        <f>IF(G33="","",IFERROR(INDEX(PackRates!$C:$C,MATCH(1,INDEX((PackRates!$A$1:$A$500=G33)*(PackRates!$B$1:$B$500=H33),0),0)),""))</f>
        <v/>
      </c>
      <c r="K33" s="38">
        <f>IF(OR(I33="",J33=""),"",IFERROR(I33*J33*INDEX(Products!$K:$K,MATCH(G33,Products!$A:$A,0)),""))</f>
        <v/>
      </c>
      <c r="L33" s="38">
        <f>IF(A33="","",IF(A33=A32,M32+1,1))</f>
        <v/>
      </c>
      <c r="M33" s="38">
        <f>IF(OR(L33="",I33=""),"",L33+I33-1)</f>
        <v/>
      </c>
      <c r="N33" s="38">
        <f>IF(A33="","",SUMIF($A$2:$A$500,A33,$I$2:$I$500))</f>
        <v/>
      </c>
    </row>
    <row r="34" ht="15" customHeight="1" s="22">
      <c r="J34" s="38">
        <f>IF(G34="","",IFERROR(INDEX(PackRates!$C:$C,MATCH(1,INDEX((PackRates!$A$1:$A$500=G34)*(PackRates!$B$1:$B$500=H34),0),0)),""))</f>
        <v/>
      </c>
      <c r="K34" s="38">
        <f>IF(OR(I34="",J34=""),"",IFERROR(I34*J34*INDEX(Products!$K:$K,MATCH(G34,Products!$A:$A,0)),""))</f>
        <v/>
      </c>
      <c r="L34" s="38">
        <f>IF(A34="","",IF(A34=A33,M33+1,1))</f>
        <v/>
      </c>
      <c r="M34" s="38">
        <f>IF(OR(L34="",I34=""),"",L34+I34-1)</f>
        <v/>
      </c>
      <c r="N34" s="38">
        <f>IF(A34="","",SUMIF($A$2:$A$500,A34,$I$2:$I$500))</f>
        <v/>
      </c>
    </row>
    <row r="35" ht="15" customHeight="1" s="22">
      <c r="J35" s="38">
        <f>IF(G35="","",IFERROR(INDEX(PackRates!$C:$C,MATCH(1,INDEX((PackRates!$A$1:$A$500=G35)*(PackRates!$B$1:$B$500=H35),0),0)),""))</f>
        <v/>
      </c>
      <c r="K35" s="38">
        <f>IF(OR(I35="",J35=""),"",IFERROR(I35*J35*INDEX(Products!$K:$K,MATCH(G35,Products!$A:$A,0)),""))</f>
        <v/>
      </c>
      <c r="L35" s="38">
        <f>IF(A35="","",IF(A35=A34,M34+1,1))</f>
        <v/>
      </c>
      <c r="M35" s="38">
        <f>IF(OR(L35="",I35=""),"",L35+I35-1)</f>
        <v/>
      </c>
      <c r="N35" s="38">
        <f>IF(A35="","",SUMIF($A$2:$A$500,A35,$I$2:$I$500))</f>
        <v/>
      </c>
    </row>
    <row r="36" ht="15" customHeight="1" s="22">
      <c r="J36" s="38">
        <f>IF(G36="","",IFERROR(INDEX(PackRates!$C:$C,MATCH(1,INDEX((PackRates!$A$1:$A$500=G36)*(PackRates!$B$1:$B$500=H36),0),0)),""))</f>
        <v/>
      </c>
      <c r="K36" s="38">
        <f>IF(OR(I36="",J36=""),"",IFERROR(I36*J36*INDEX(Products!$K:$K,MATCH(G36,Products!$A:$A,0)),""))</f>
        <v/>
      </c>
      <c r="L36" s="38">
        <f>IF(A36="","",IF(A36=A35,M35+1,1))</f>
        <v/>
      </c>
      <c r="M36" s="38">
        <f>IF(OR(L36="",I36=""),"",L36+I36-1)</f>
        <v/>
      </c>
      <c r="N36" s="38">
        <f>IF(A36="","",SUMIF($A$2:$A$500,A36,$I$2:$I$500))</f>
        <v/>
      </c>
    </row>
    <row r="37" ht="15" customHeight="1" s="22">
      <c r="J37" s="38">
        <f>IF(G37="","",IFERROR(INDEX(PackRates!$C:$C,MATCH(1,INDEX((PackRates!$A$1:$A$500=G37)*(PackRates!$B$1:$B$500=H37),0),0)),""))</f>
        <v/>
      </c>
      <c r="K37" s="38">
        <f>IF(OR(I37="",J37=""),"",IFERROR(I37*J37*INDEX(Products!$K:$K,MATCH(G37,Products!$A:$A,0)),""))</f>
        <v/>
      </c>
      <c r="L37" s="38">
        <f>IF(A37="","",IF(A37=A36,M36+1,1))</f>
        <v/>
      </c>
      <c r="M37" s="38">
        <f>IF(OR(L37="",I37=""),"",L37+I37-1)</f>
        <v/>
      </c>
      <c r="N37" s="38">
        <f>IF(A37="","",SUMIF($A$2:$A$500,A37,$I$2:$I$500))</f>
        <v/>
      </c>
    </row>
    <row r="38" ht="15" customHeight="1" s="22">
      <c r="J38" s="38">
        <f>IF(G38="","",IFERROR(INDEX(PackRates!$C:$C,MATCH(1,INDEX((PackRates!$A$1:$A$500=G38)*(PackRates!$B$1:$B$500=H38),0),0)),""))</f>
        <v/>
      </c>
      <c r="K38" s="38">
        <f>IF(OR(I38="",J38=""),"",IFERROR(I38*J38*INDEX(Products!$K:$K,MATCH(G38,Products!$A:$A,0)),""))</f>
        <v/>
      </c>
      <c r="L38" s="38">
        <f>IF(A38="","",IF(A38=A37,M37+1,1))</f>
        <v/>
      </c>
      <c r="M38" s="38">
        <f>IF(OR(L38="",I38=""),"",L38+I38-1)</f>
        <v/>
      </c>
      <c r="N38" s="38">
        <f>IF(A38="","",SUMIF($A$2:$A$500,A38,$I$2:$I$500))</f>
        <v/>
      </c>
    </row>
    <row r="39" ht="15" customHeight="1" s="22">
      <c r="J39" s="38">
        <f>IF(G39="","",IFERROR(INDEX(PackRates!$C:$C,MATCH(1,INDEX((PackRates!$A$1:$A$500=G39)*(PackRates!$B$1:$B$500=H39),0),0)),""))</f>
        <v/>
      </c>
      <c r="K39" s="38">
        <f>IF(OR(I39="",J39=""),"",IFERROR(I39*J39*INDEX(Products!$K:$K,MATCH(G39,Products!$A:$A,0)),""))</f>
        <v/>
      </c>
      <c r="L39" s="38">
        <f>IF(A39="","",IF(A39=A38,M38+1,1))</f>
        <v/>
      </c>
      <c r="M39" s="38">
        <f>IF(OR(L39="",I39=""),"",L39+I39-1)</f>
        <v/>
      </c>
      <c r="N39" s="38">
        <f>IF(A39="","",SUMIF($A$2:$A$500,A39,$I$2:$I$500))</f>
        <v/>
      </c>
    </row>
    <row r="40" ht="15" customHeight="1" s="22">
      <c r="J40" s="38">
        <f>IF(G40="","",IFERROR(INDEX(PackRates!$C:$C,MATCH(1,INDEX((PackRates!$A$1:$A$500=G40)*(PackRates!$B$1:$B$500=H40),0),0)),""))</f>
        <v/>
      </c>
      <c r="K40" s="38">
        <f>IF(OR(I40="",J40=""),"",IFERROR(I40*J40*INDEX(Products!$K:$K,MATCH(G40,Products!$A:$A,0)),""))</f>
        <v/>
      </c>
      <c r="L40" s="38">
        <f>IF(A40="","",IF(A40=A39,M39+1,1))</f>
        <v/>
      </c>
      <c r="M40" s="38">
        <f>IF(OR(L40="",I40=""),"",L40+I40-1)</f>
        <v/>
      </c>
      <c r="N40" s="38">
        <f>IF(A40="","",SUMIF($A$2:$A$500,A40,$I$2:$I$500))</f>
        <v/>
      </c>
    </row>
    <row r="41" ht="15" customHeight="1" s="22">
      <c r="J41" s="38">
        <f>IF(G41="","",IFERROR(INDEX(PackRates!$C:$C,MATCH(1,INDEX((PackRates!$A$1:$A$500=G41)*(PackRates!$B$1:$B$500=H41),0),0)),""))</f>
        <v/>
      </c>
      <c r="K41" s="38">
        <f>IF(OR(I41="",J41=""),"",IFERROR(I41*J41*INDEX(Products!$K:$K,MATCH(G41,Products!$A:$A,0)),""))</f>
        <v/>
      </c>
      <c r="L41" s="38">
        <f>IF(A41="","",IF(A41=A40,M40+1,1))</f>
        <v/>
      </c>
      <c r="M41" s="38">
        <f>IF(OR(L41="",I41=""),"",L41+I41-1)</f>
        <v/>
      </c>
      <c r="N41" s="38">
        <f>IF(A41="","",SUMIF($A$2:$A$500,A41,$I$2:$I$500))</f>
        <v/>
      </c>
    </row>
    <row r="42" ht="15" customHeight="1" s="22">
      <c r="J42" s="38">
        <f>IF(G42="","",IFERROR(INDEX(PackRates!$C:$C,MATCH(1,INDEX((PackRates!$A$1:$A$500=G42)*(PackRates!$B$1:$B$500=H42),0),0)),""))</f>
        <v/>
      </c>
      <c r="K42" s="38">
        <f>IF(OR(I42="",J42=""),"",IFERROR(I42*J42*INDEX(Products!$K:$K,MATCH(G42,Products!$A:$A,0)),""))</f>
        <v/>
      </c>
      <c r="L42" s="38">
        <f>IF(A42="","",IF(A42=A41,M41+1,1))</f>
        <v/>
      </c>
      <c r="M42" s="38">
        <f>IF(OR(L42="",I42=""),"",L42+I42-1)</f>
        <v/>
      </c>
      <c r="N42" s="38">
        <f>IF(A42="","",SUMIF($A$2:$A$500,A42,$I$2:$I$500))</f>
        <v/>
      </c>
    </row>
    <row r="43" ht="15" customHeight="1" s="22">
      <c r="J43" s="38">
        <f>IF(G43="","",IFERROR(INDEX(PackRates!$C:$C,MATCH(1,INDEX((PackRates!$A$1:$A$500=G43)*(PackRates!$B$1:$B$500=H43),0),0)),""))</f>
        <v/>
      </c>
      <c r="K43" s="38">
        <f>IF(OR(I43="",J43=""),"",IFERROR(I43*J43*INDEX(Products!$K:$K,MATCH(G43,Products!$A:$A,0)),""))</f>
        <v/>
      </c>
      <c r="L43" s="38">
        <f>IF(A43="","",IF(A43=A42,M42+1,1))</f>
        <v/>
      </c>
      <c r="M43" s="38">
        <f>IF(OR(L43="",I43=""),"",L43+I43-1)</f>
        <v/>
      </c>
      <c r="N43" s="38">
        <f>IF(A43="","",SUMIF($A$2:$A$500,A43,$I$2:$I$500))</f>
        <v/>
      </c>
    </row>
    <row r="44" ht="15" customHeight="1" s="22">
      <c r="J44" s="38">
        <f>IF(G44="","",IFERROR(INDEX(PackRates!$C:$C,MATCH(1,INDEX((PackRates!$A$1:$A$500=G44)*(PackRates!$B$1:$B$500=H44),0),0)),""))</f>
        <v/>
      </c>
      <c r="K44" s="38">
        <f>IF(OR(I44="",J44=""),"",IFERROR(I44*J44*INDEX(Products!$K:$K,MATCH(G44,Products!$A:$A,0)),""))</f>
        <v/>
      </c>
      <c r="L44" s="38">
        <f>IF(A44="","",IF(A44=A43,M43+1,1))</f>
        <v/>
      </c>
      <c r="M44" s="38">
        <f>IF(OR(L44="",I44=""),"",L44+I44-1)</f>
        <v/>
      </c>
      <c r="N44" s="38">
        <f>IF(A44="","",SUMIF($A$2:$A$500,A44,$I$2:$I$500))</f>
        <v/>
      </c>
    </row>
    <row r="45" ht="15" customHeight="1" s="22">
      <c r="J45" s="38">
        <f>IF(G45="","",IFERROR(INDEX(PackRates!$C:$C,MATCH(1,INDEX((PackRates!$A$1:$A$500=G45)*(PackRates!$B$1:$B$500=H45),0),0)),""))</f>
        <v/>
      </c>
      <c r="K45" s="38">
        <f>IF(OR(I45="",J45=""),"",IFERROR(I45*J45*INDEX(Products!$K:$K,MATCH(G45,Products!$A:$A,0)),""))</f>
        <v/>
      </c>
      <c r="L45" s="38">
        <f>IF(A45="","",IF(A45=A44,M44+1,1))</f>
        <v/>
      </c>
      <c r="M45" s="38">
        <f>IF(OR(L45="",I45=""),"",L45+I45-1)</f>
        <v/>
      </c>
      <c r="N45" s="38">
        <f>IF(A45="","",SUMIF($A$2:$A$500,A45,$I$2:$I$500))</f>
        <v/>
      </c>
    </row>
    <row r="46" ht="15" customHeight="1" s="22">
      <c r="J46" s="38">
        <f>IF(G46="","",IFERROR(INDEX(PackRates!$C:$C,MATCH(1,INDEX((PackRates!$A$1:$A$500=G46)*(PackRates!$B$1:$B$500=H46),0),0)),""))</f>
        <v/>
      </c>
      <c r="K46" s="38">
        <f>IF(OR(I46="",J46=""),"",IFERROR(I46*J46*INDEX(Products!$K:$K,MATCH(G46,Products!$A:$A,0)),""))</f>
        <v/>
      </c>
      <c r="L46" s="38">
        <f>IF(A46="","",IF(A46=A45,M45+1,1))</f>
        <v/>
      </c>
      <c r="M46" s="38">
        <f>IF(OR(L46="",I46=""),"",L46+I46-1)</f>
        <v/>
      </c>
      <c r="N46" s="38">
        <f>IF(A46="","",SUMIF($A$2:$A$500,A46,$I$2:$I$500))</f>
        <v/>
      </c>
    </row>
    <row r="47" ht="15" customHeight="1" s="22">
      <c r="J47" s="38">
        <f>IF(G47="","",IFERROR(INDEX(PackRates!$C:$C,MATCH(1,INDEX((PackRates!$A$1:$A$500=G47)*(PackRates!$B$1:$B$500=H47),0),0)),""))</f>
        <v/>
      </c>
      <c r="K47" s="38">
        <f>IF(OR(I47="",J47=""),"",IFERROR(I47*J47*INDEX(Products!$K:$K,MATCH(G47,Products!$A:$A,0)),""))</f>
        <v/>
      </c>
      <c r="L47" s="38">
        <f>IF(A47="","",IF(A47=A46,M46+1,1))</f>
        <v/>
      </c>
      <c r="M47" s="38">
        <f>IF(OR(L47="",I47=""),"",L47+I47-1)</f>
        <v/>
      </c>
      <c r="N47" s="38">
        <f>IF(A47="","",SUMIF($A$2:$A$500,A47,$I$2:$I$500))</f>
        <v/>
      </c>
    </row>
    <row r="48" ht="15" customHeight="1" s="22">
      <c r="J48" s="38">
        <f>IF(G48="","",IFERROR(INDEX(PackRates!$C:$C,MATCH(1,INDEX((PackRates!$A$1:$A$500=G48)*(PackRates!$B$1:$B$500=H48),0),0)),""))</f>
        <v/>
      </c>
      <c r="K48" s="38">
        <f>IF(OR(I48="",J48=""),"",IFERROR(I48*J48*INDEX(Products!$K:$K,MATCH(G48,Products!$A:$A,0)),""))</f>
        <v/>
      </c>
      <c r="L48" s="38">
        <f>IF(A48="","",IF(A48=A47,M47+1,1))</f>
        <v/>
      </c>
      <c r="M48" s="38">
        <f>IF(OR(L48="",I48=""),"",L48+I48-1)</f>
        <v/>
      </c>
      <c r="N48" s="38">
        <f>IF(A48="","",SUMIF($A$2:$A$500,A48,$I$2:$I$500))</f>
        <v/>
      </c>
    </row>
    <row r="49" ht="15" customHeight="1" s="22">
      <c r="J49" s="38">
        <f>IF(G49="","",IFERROR(INDEX(PackRates!$C:$C,MATCH(1,INDEX((PackRates!$A$1:$A$500=G49)*(PackRates!$B$1:$B$500=H49),0),0)),""))</f>
        <v/>
      </c>
      <c r="K49" s="38">
        <f>IF(OR(I49="",J49=""),"",IFERROR(I49*J49*INDEX(Products!$K:$K,MATCH(G49,Products!$A:$A,0)),""))</f>
        <v/>
      </c>
      <c r="L49" s="38">
        <f>IF(A49="","",IF(A49=A48,M48+1,1))</f>
        <v/>
      </c>
      <c r="M49" s="38">
        <f>IF(OR(L49="",I49=""),"",L49+I49-1)</f>
        <v/>
      </c>
      <c r="N49" s="38">
        <f>IF(A49="","",SUMIF($A$2:$A$500,A49,$I$2:$I$500))</f>
        <v/>
      </c>
    </row>
    <row r="50" ht="15" customHeight="1" s="22">
      <c r="J50" s="38">
        <f>IF(G50="","",IFERROR(INDEX(PackRates!$C:$C,MATCH(1,INDEX((PackRates!$A$1:$A$500=G50)*(PackRates!$B$1:$B$500=H50),0),0)),""))</f>
        <v/>
      </c>
      <c r="K50" s="38">
        <f>IF(OR(I50="",J50=""),"",IFERROR(I50*J50*INDEX(Products!$K:$K,MATCH(G50,Products!$A:$A,0)),""))</f>
        <v/>
      </c>
      <c r="L50" s="38">
        <f>IF(A50="","",IF(A50=A49,M49+1,1))</f>
        <v/>
      </c>
      <c r="M50" s="38">
        <f>IF(OR(L50="",I50=""),"",L50+I50-1)</f>
        <v/>
      </c>
      <c r="N50" s="38">
        <f>IF(A50="","",SUMIF($A$2:$A$500,A50,$I$2:$I$500))</f>
        <v/>
      </c>
    </row>
    <row r="51" ht="15" customHeight="1" s="22">
      <c r="J51" s="38">
        <f>IF(G51="","",IFERROR(INDEX(PackRates!$C:$C,MATCH(1,INDEX((PackRates!$A$1:$A$500=G51)*(PackRates!$B$1:$B$500=H51),0),0)),""))</f>
        <v/>
      </c>
      <c r="K51" s="38">
        <f>IF(OR(I51="",J51=""),"",IFERROR(I51*J51*INDEX(Products!$K:$K,MATCH(G51,Products!$A:$A,0)),""))</f>
        <v/>
      </c>
      <c r="L51" s="38">
        <f>IF(A51="","",IF(A51=A50,M50+1,1))</f>
        <v/>
      </c>
      <c r="M51" s="38">
        <f>IF(OR(L51="",I51=""),"",L51+I51-1)</f>
        <v/>
      </c>
      <c r="N51" s="38">
        <f>IF(A51="","",SUMIF($A$2:$A$500,A51,$I$2:$I$500))</f>
        <v/>
      </c>
    </row>
    <row r="52" ht="15" customHeight="1" s="22">
      <c r="J52" s="38">
        <f>IF(G52="","",IFERROR(INDEX(PackRates!$C:$C,MATCH(1,INDEX((PackRates!$A$1:$A$500=G52)*(PackRates!$B$1:$B$500=H52),0),0)),""))</f>
        <v/>
      </c>
      <c r="K52" s="38">
        <f>IF(OR(I52="",J52=""),"",IFERROR(I52*J52*INDEX(Products!$K:$K,MATCH(G52,Products!$A:$A,0)),""))</f>
        <v/>
      </c>
      <c r="L52" s="38">
        <f>IF(A52="","",IF(A52=A51,M51+1,1))</f>
        <v/>
      </c>
      <c r="M52" s="38">
        <f>IF(OR(L52="",I52=""),"",L52+I52-1)</f>
        <v/>
      </c>
      <c r="N52" s="38">
        <f>IF(A52="","",SUMIF($A$2:$A$500,A52,$I$2:$I$500))</f>
        <v/>
      </c>
    </row>
    <row r="53" ht="15" customHeight="1" s="22">
      <c r="J53" s="38">
        <f>IF(G53="","",IFERROR(INDEX(PackRates!$C:$C,MATCH(1,INDEX((PackRates!$A$1:$A$500=G53)*(PackRates!$B$1:$B$500=H53),0),0)),""))</f>
        <v/>
      </c>
      <c r="K53" s="38">
        <f>IF(OR(I53="",J53=""),"",IFERROR(I53*J53*INDEX(Products!$K:$K,MATCH(G53,Products!$A:$A,0)),""))</f>
        <v/>
      </c>
      <c r="L53" s="38">
        <f>IF(A53="","",IF(A53=A52,M52+1,1))</f>
        <v/>
      </c>
      <c r="M53" s="38">
        <f>IF(OR(L53="",I53=""),"",L53+I53-1)</f>
        <v/>
      </c>
      <c r="N53" s="38">
        <f>IF(A53="","",SUMIF($A$2:$A$500,A53,$I$2:$I$500))</f>
        <v/>
      </c>
    </row>
    <row r="54" ht="15" customHeight="1" s="22">
      <c r="J54" s="38">
        <f>IF(G54="","",IFERROR(INDEX(PackRates!$C:$C,MATCH(1,INDEX((PackRates!$A$1:$A$500=G54)*(PackRates!$B$1:$B$500=H54),0),0)),""))</f>
        <v/>
      </c>
      <c r="K54" s="38">
        <f>IF(OR(I54="",J54=""),"",IFERROR(I54*J54*INDEX(Products!$K:$K,MATCH(G54,Products!$A:$A,0)),""))</f>
        <v/>
      </c>
      <c r="L54" s="38">
        <f>IF(A54="","",IF(A54=A53,M53+1,1))</f>
        <v/>
      </c>
      <c r="M54" s="38">
        <f>IF(OR(L54="",I54=""),"",L54+I54-1)</f>
        <v/>
      </c>
      <c r="N54" s="38">
        <f>IF(A54="","",SUMIF($A$2:$A$500,A54,$I$2:$I$500))</f>
        <v/>
      </c>
    </row>
    <row r="55" ht="15" customHeight="1" s="22">
      <c r="J55" s="38">
        <f>IF(G55="","",IFERROR(INDEX(PackRates!$C:$C,MATCH(1,INDEX((PackRates!$A$1:$A$500=G55)*(PackRates!$B$1:$B$500=H55),0),0)),""))</f>
        <v/>
      </c>
      <c r="K55" s="38">
        <f>IF(OR(I55="",J55=""),"",IFERROR(I55*J55*INDEX(Products!$K:$K,MATCH(G55,Products!$A:$A,0)),""))</f>
        <v/>
      </c>
      <c r="L55" s="38">
        <f>IF(A55="","",IF(A55=A54,M54+1,1))</f>
        <v/>
      </c>
      <c r="M55" s="38">
        <f>IF(OR(L55="",I55=""),"",L55+I55-1)</f>
        <v/>
      </c>
      <c r="N55" s="38">
        <f>IF(A55="","",SUMIF($A$2:$A$500,A55,$I$2:$I$500))</f>
        <v/>
      </c>
    </row>
    <row r="56" ht="15" customHeight="1" s="22">
      <c r="J56" s="38">
        <f>IF(G56="","",IFERROR(INDEX(PackRates!$C:$C,MATCH(1,INDEX((PackRates!$A$1:$A$500=G56)*(PackRates!$B$1:$B$500=H56),0),0)),""))</f>
        <v/>
      </c>
      <c r="K56" s="38">
        <f>IF(OR(I56="",J56=""),"",IFERROR(I56*J56*INDEX(Products!$K:$K,MATCH(G56,Products!$A:$A,0)),""))</f>
        <v/>
      </c>
      <c r="L56" s="38">
        <f>IF(A56="","",IF(A56=A55,M55+1,1))</f>
        <v/>
      </c>
      <c r="M56" s="38">
        <f>IF(OR(L56="",I56=""),"",L56+I56-1)</f>
        <v/>
      </c>
      <c r="N56" s="38">
        <f>IF(A56="","",SUMIF($A$2:$A$500,A56,$I$2:$I$500))</f>
        <v/>
      </c>
    </row>
    <row r="57" ht="15" customHeight="1" s="22">
      <c r="J57" s="38">
        <f>IF(G57="","",IFERROR(INDEX(PackRates!$C:$C,MATCH(1,INDEX((PackRates!$A$1:$A$500=G57)*(PackRates!$B$1:$B$500=H57),0),0)),""))</f>
        <v/>
      </c>
      <c r="K57" s="38">
        <f>IF(OR(I57="",J57=""),"",IFERROR(I57*J57*INDEX(Products!$K:$K,MATCH(G57,Products!$A:$A,0)),""))</f>
        <v/>
      </c>
      <c r="L57" s="38">
        <f>IF(A57="","",IF(A57=A56,M56+1,1))</f>
        <v/>
      </c>
      <c r="M57" s="38">
        <f>IF(OR(L57="",I57=""),"",L57+I57-1)</f>
        <v/>
      </c>
      <c r="N57" s="38">
        <f>IF(A57="","",SUMIF($A$2:$A$500,A57,$I$2:$I$500))</f>
        <v/>
      </c>
    </row>
    <row r="58" ht="15" customHeight="1" s="22">
      <c r="J58" s="38">
        <f>IF(G58="","",IFERROR(INDEX(PackRates!$C:$C,MATCH(1,INDEX((PackRates!$A$1:$A$500=G58)*(PackRates!$B$1:$B$500=H58),0),0)),""))</f>
        <v/>
      </c>
      <c r="K58" s="38">
        <f>IF(OR(I58="",J58=""),"",IFERROR(I58*J58*INDEX(Products!$K:$K,MATCH(G58,Products!$A:$A,0)),""))</f>
        <v/>
      </c>
      <c r="L58" s="38">
        <f>IF(A58="","",IF(A58=A57,M57+1,1))</f>
        <v/>
      </c>
      <c r="M58" s="38">
        <f>IF(OR(L58="",I58=""),"",L58+I58-1)</f>
        <v/>
      </c>
      <c r="N58" s="38">
        <f>IF(A58="","",SUMIF($A$2:$A$500,A58,$I$2:$I$500))</f>
        <v/>
      </c>
    </row>
    <row r="59" ht="15" customHeight="1" s="22">
      <c r="J59" s="38">
        <f>IF(G59="","",IFERROR(INDEX(PackRates!$C:$C,MATCH(1,INDEX((PackRates!$A$1:$A$500=G59)*(PackRates!$B$1:$B$500=H59),0),0)),""))</f>
        <v/>
      </c>
      <c r="K59" s="38">
        <f>IF(OR(I59="",J59=""),"",IFERROR(I59*J59*INDEX(Products!$K:$K,MATCH(G59,Products!$A:$A,0)),""))</f>
        <v/>
      </c>
      <c r="L59" s="38">
        <f>IF(A59="","",IF(A59=A58,M58+1,1))</f>
        <v/>
      </c>
      <c r="M59" s="38">
        <f>IF(OR(L59="",I59=""),"",L59+I59-1)</f>
        <v/>
      </c>
      <c r="N59" s="38">
        <f>IF(A59="","",SUMIF($A$2:$A$500,A59,$I$2:$I$500))</f>
        <v/>
      </c>
    </row>
    <row r="60" ht="15" customHeight="1" s="22">
      <c r="J60" s="38">
        <f>IF(G60="","",IFERROR(INDEX(PackRates!$C:$C,MATCH(1,INDEX((PackRates!$A$1:$A$500=G60)*(PackRates!$B$1:$B$500=H60),0),0)),""))</f>
        <v/>
      </c>
      <c r="K60" s="38">
        <f>IF(OR(I60="",J60=""),"",IFERROR(I60*J60*INDEX(Products!$K:$K,MATCH(G60,Products!$A:$A,0)),""))</f>
        <v/>
      </c>
      <c r="L60" s="38">
        <f>IF(A60="","",IF(A60=A59,M59+1,1))</f>
        <v/>
      </c>
      <c r="M60" s="38">
        <f>IF(OR(L60="",I60=""),"",L60+I60-1)</f>
        <v/>
      </c>
      <c r="N60" s="38">
        <f>IF(A60="","",SUMIF($A$2:$A$500,A60,$I$2:$I$500))</f>
        <v/>
      </c>
    </row>
    <row r="61" ht="15" customHeight="1" s="22">
      <c r="J61" s="38">
        <f>IF(G61="","",IFERROR(INDEX(PackRates!$C:$C,MATCH(1,INDEX((PackRates!$A$1:$A$500=G61)*(PackRates!$B$1:$B$500=H61),0),0)),""))</f>
        <v/>
      </c>
      <c r="K61" s="38">
        <f>IF(OR(I61="",J61=""),"",IFERROR(I61*J61*INDEX(Products!$K:$K,MATCH(G61,Products!$A:$A,0)),""))</f>
        <v/>
      </c>
      <c r="L61" s="38">
        <f>IF(A61="","",IF(A61=A60,M60+1,1))</f>
        <v/>
      </c>
      <c r="M61" s="38">
        <f>IF(OR(L61="",I61=""),"",L61+I61-1)</f>
        <v/>
      </c>
      <c r="N61" s="38">
        <f>IF(A61="","",SUMIF($A$2:$A$500,A61,$I$2:$I$500))</f>
        <v/>
      </c>
    </row>
    <row r="62" ht="15" customHeight="1" s="22">
      <c r="J62" s="38">
        <f>IF(G62="","",IFERROR(INDEX(PackRates!$C:$C,MATCH(1,INDEX((PackRates!$A$1:$A$500=G62)*(PackRates!$B$1:$B$500=H62),0),0)),""))</f>
        <v/>
      </c>
      <c r="K62" s="38">
        <f>IF(OR(I62="",J62=""),"",IFERROR(I62*J62*INDEX(Products!$K:$K,MATCH(G62,Products!$A:$A,0)),""))</f>
        <v/>
      </c>
      <c r="L62" s="38">
        <f>IF(A62="","",IF(A62=A61,M61+1,1))</f>
        <v/>
      </c>
      <c r="M62" s="38">
        <f>IF(OR(L62="",I62=""),"",L62+I62-1)</f>
        <v/>
      </c>
      <c r="N62" s="38">
        <f>IF(A62="","",SUMIF($A$2:$A$500,A62,$I$2:$I$500))</f>
        <v/>
      </c>
    </row>
    <row r="63" ht="15" customHeight="1" s="22">
      <c r="J63" s="38">
        <f>IF(G63="","",IFERROR(INDEX(PackRates!$C:$C,MATCH(1,INDEX((PackRates!$A$1:$A$500=G63)*(PackRates!$B$1:$B$500=H63),0),0)),""))</f>
        <v/>
      </c>
      <c r="K63" s="38">
        <f>IF(OR(I63="",J63=""),"",IFERROR(I63*J63*INDEX(Products!$K:$K,MATCH(G63,Products!$A:$A,0)),""))</f>
        <v/>
      </c>
      <c r="L63" s="38">
        <f>IF(A63="","",IF(A63=A62,M62+1,1))</f>
        <v/>
      </c>
      <c r="M63" s="38">
        <f>IF(OR(L63="",I63=""),"",L63+I63-1)</f>
        <v/>
      </c>
      <c r="N63" s="38">
        <f>IF(A63="","",SUMIF($A$2:$A$500,A63,$I$2:$I$500))</f>
        <v/>
      </c>
    </row>
    <row r="64" ht="15" customHeight="1" s="22">
      <c r="J64" s="38">
        <f>IF(G64="","",IFERROR(INDEX(PackRates!$C:$C,MATCH(1,INDEX((PackRates!$A$1:$A$500=G64)*(PackRates!$B$1:$B$500=H64),0),0)),""))</f>
        <v/>
      </c>
      <c r="K64" s="38">
        <f>IF(OR(I64="",J64=""),"",IFERROR(I64*J64*INDEX(Products!$K:$K,MATCH(G64,Products!$A:$A,0)),""))</f>
        <v/>
      </c>
      <c r="L64" s="38">
        <f>IF(A64="","",IF(A64=A63,M63+1,1))</f>
        <v/>
      </c>
      <c r="M64" s="38">
        <f>IF(OR(L64="",I64=""),"",L64+I64-1)</f>
        <v/>
      </c>
      <c r="N64" s="38">
        <f>IF(A64="","",SUMIF($A$2:$A$500,A64,$I$2:$I$500))</f>
        <v/>
      </c>
    </row>
    <row r="65" ht="15" customHeight="1" s="22">
      <c r="J65" s="38">
        <f>IF(G65="","",IFERROR(INDEX(PackRates!$C:$C,MATCH(1,INDEX((PackRates!$A$1:$A$500=G65)*(PackRates!$B$1:$B$500=H65),0),0)),""))</f>
        <v/>
      </c>
      <c r="K65" s="38">
        <f>IF(OR(I65="",J65=""),"",IFERROR(I65*J65*INDEX(Products!$K:$K,MATCH(G65,Products!$A:$A,0)),""))</f>
        <v/>
      </c>
      <c r="L65" s="38">
        <f>IF(A65="","",IF(A65=A64,M64+1,1))</f>
        <v/>
      </c>
      <c r="M65" s="38">
        <f>IF(OR(L65="",I65=""),"",L65+I65-1)</f>
        <v/>
      </c>
      <c r="N65" s="38">
        <f>IF(A65="","",SUMIF($A$2:$A$500,A65,$I$2:$I$500))</f>
        <v/>
      </c>
    </row>
    <row r="66" ht="15" customHeight="1" s="22">
      <c r="J66" s="38">
        <f>IF(G66="","",IFERROR(INDEX(PackRates!$C:$C,MATCH(1,INDEX((PackRates!$A$1:$A$500=G66)*(PackRates!$B$1:$B$500=H66),0),0)),""))</f>
        <v/>
      </c>
      <c r="K66" s="38">
        <f>IF(OR(I66="",J66=""),"",IFERROR(I66*J66*INDEX(Products!$K:$K,MATCH(G66,Products!$A:$A,0)),""))</f>
        <v/>
      </c>
      <c r="L66" s="38">
        <f>IF(A66="","",IF(A66=A65,M65+1,1))</f>
        <v/>
      </c>
      <c r="M66" s="38">
        <f>IF(OR(L66="",I66=""),"",L66+I66-1)</f>
        <v/>
      </c>
      <c r="N66" s="38">
        <f>IF(A66="","",SUMIF($A$2:$A$500,A66,$I$2:$I$500))</f>
        <v/>
      </c>
    </row>
    <row r="67" ht="15" customHeight="1" s="22">
      <c r="J67" s="38">
        <f>IF(G67="","",IFERROR(INDEX(PackRates!$C:$C,MATCH(1,INDEX((PackRates!$A$1:$A$500=G67)*(PackRates!$B$1:$B$500=H67),0),0)),""))</f>
        <v/>
      </c>
      <c r="K67" s="38">
        <f>IF(OR(I67="",J67=""),"",IFERROR(I67*J67*INDEX(Products!$K:$K,MATCH(G67,Products!$A:$A,0)),""))</f>
        <v/>
      </c>
      <c r="L67" s="38">
        <f>IF(A67="","",IF(A67=A66,M66+1,1))</f>
        <v/>
      </c>
      <c r="M67" s="38">
        <f>IF(OR(L67="",I67=""),"",L67+I67-1)</f>
        <v/>
      </c>
      <c r="N67" s="38">
        <f>IF(A67="","",SUMIF($A$2:$A$500,A67,$I$2:$I$500))</f>
        <v/>
      </c>
    </row>
    <row r="68" ht="15" customHeight="1" s="22">
      <c r="J68" s="38">
        <f>IF(G68="","",IFERROR(INDEX(PackRates!$C:$C,MATCH(1,INDEX((PackRates!$A$1:$A$500=G68)*(PackRates!$B$1:$B$500=H68),0),0)),""))</f>
        <v/>
      </c>
      <c r="K68" s="38">
        <f>IF(OR(I68="",J68=""),"",IFERROR(I68*J68*INDEX(Products!$K:$K,MATCH(G68,Products!$A:$A,0)),""))</f>
        <v/>
      </c>
      <c r="L68" s="38">
        <f>IF(A68="","",IF(A68=A67,M67+1,1))</f>
        <v/>
      </c>
      <c r="M68" s="38">
        <f>IF(OR(L68="",I68=""),"",L68+I68-1)</f>
        <v/>
      </c>
      <c r="N68" s="38">
        <f>IF(A68="","",SUMIF($A$2:$A$500,A68,$I$2:$I$500))</f>
        <v/>
      </c>
    </row>
    <row r="69" ht="15" customHeight="1" s="22">
      <c r="J69" s="38">
        <f>IF(G69="","",IFERROR(INDEX(PackRates!$C:$C,MATCH(1,INDEX((PackRates!$A$1:$A$500=G69)*(PackRates!$B$1:$B$500=H69),0),0)),""))</f>
        <v/>
      </c>
      <c r="K69" s="38">
        <f>IF(OR(I69="",J69=""),"",IFERROR(I69*J69*INDEX(Products!$K:$K,MATCH(G69,Products!$A:$A,0)),""))</f>
        <v/>
      </c>
      <c r="L69" s="38">
        <f>IF(A69="","",IF(A69=A68,M68+1,1))</f>
        <v/>
      </c>
      <c r="M69" s="38">
        <f>IF(OR(L69="",I69=""),"",L69+I69-1)</f>
        <v/>
      </c>
      <c r="N69" s="38">
        <f>IF(A69="","",SUMIF($A$2:$A$500,A69,$I$2:$I$500))</f>
        <v/>
      </c>
    </row>
    <row r="70" ht="15" customHeight="1" s="22">
      <c r="J70" s="38">
        <f>IF(G70="","",IFERROR(INDEX(PackRates!$C:$C,MATCH(1,INDEX((PackRates!$A$1:$A$500=G70)*(PackRates!$B$1:$B$500=H70),0),0)),""))</f>
        <v/>
      </c>
      <c r="K70" s="38">
        <f>IF(OR(I70="",J70=""),"",IFERROR(I70*J70*INDEX(Products!$K:$K,MATCH(G70,Products!$A:$A,0)),""))</f>
        <v/>
      </c>
      <c r="L70" s="38">
        <f>IF(A70="","",IF(A70=A69,M69+1,1))</f>
        <v/>
      </c>
      <c r="M70" s="38">
        <f>IF(OR(L70="",I70=""),"",L70+I70-1)</f>
        <v/>
      </c>
      <c r="N70" s="38">
        <f>IF(A70="","",SUMIF($A$2:$A$500,A70,$I$2:$I$500))</f>
        <v/>
      </c>
    </row>
    <row r="71" ht="15" customHeight="1" s="22">
      <c r="J71" s="38">
        <f>IF(G71="","",IFERROR(INDEX(PackRates!$C:$C,MATCH(1,INDEX((PackRates!$A$1:$A$500=G71)*(PackRates!$B$1:$B$500=H71),0),0)),""))</f>
        <v/>
      </c>
      <c r="K71" s="38">
        <f>IF(OR(I71="",J71=""),"",IFERROR(I71*J71*INDEX(Products!$K:$K,MATCH(G71,Products!$A:$A,0)),""))</f>
        <v/>
      </c>
      <c r="L71" s="38">
        <f>IF(A71="","",IF(A71=A70,M70+1,1))</f>
        <v/>
      </c>
      <c r="M71" s="38">
        <f>IF(OR(L71="",I71=""),"",L71+I71-1)</f>
        <v/>
      </c>
      <c r="N71" s="38">
        <f>IF(A71="","",SUMIF($A$2:$A$500,A71,$I$2:$I$500))</f>
        <v/>
      </c>
    </row>
    <row r="72" ht="15" customHeight="1" s="22">
      <c r="J72" s="38">
        <f>IF(G72="","",IFERROR(INDEX(PackRates!$C:$C,MATCH(1,INDEX((PackRates!$A$1:$A$500=G72)*(PackRates!$B$1:$B$500=H72),0),0)),""))</f>
        <v/>
      </c>
      <c r="K72" s="38">
        <f>IF(OR(I72="",J72=""),"",IFERROR(I72*J72*INDEX(Products!$K:$K,MATCH(G72,Products!$A:$A,0)),""))</f>
        <v/>
      </c>
      <c r="L72" s="38">
        <f>IF(A72="","",IF(A72=A71,M71+1,1))</f>
        <v/>
      </c>
      <c r="M72" s="38">
        <f>IF(OR(L72="",I72=""),"",L72+I72-1)</f>
        <v/>
      </c>
      <c r="N72" s="38">
        <f>IF(A72="","",SUMIF($A$2:$A$500,A72,$I$2:$I$500))</f>
        <v/>
      </c>
    </row>
    <row r="73" ht="15" customHeight="1" s="22">
      <c r="J73" s="38">
        <f>IF(G73="","",IFERROR(INDEX(PackRates!$C:$C,MATCH(1,INDEX((PackRates!$A$1:$A$500=G73)*(PackRates!$B$1:$B$500=H73),0),0)),""))</f>
        <v/>
      </c>
      <c r="K73" s="38">
        <f>IF(OR(I73="",J73=""),"",IFERROR(I73*J73*INDEX(Products!$K:$K,MATCH(G73,Products!$A:$A,0)),""))</f>
        <v/>
      </c>
      <c r="L73" s="38">
        <f>IF(A73="","",IF(A73=A72,M72+1,1))</f>
        <v/>
      </c>
      <c r="M73" s="38">
        <f>IF(OR(L73="",I73=""),"",L73+I73-1)</f>
        <v/>
      </c>
      <c r="N73" s="38">
        <f>IF(A73="","",SUMIF($A$2:$A$500,A73,$I$2:$I$500))</f>
        <v/>
      </c>
    </row>
    <row r="74" ht="15" customHeight="1" s="22">
      <c r="J74" s="38">
        <f>IF(G74="","",IFERROR(INDEX(PackRates!$C:$C,MATCH(1,INDEX((PackRates!$A$1:$A$500=G74)*(PackRates!$B$1:$B$500=H74),0),0)),""))</f>
        <v/>
      </c>
      <c r="K74" s="38">
        <f>IF(OR(I74="",J74=""),"",IFERROR(I74*J74*INDEX(Products!$K:$K,MATCH(G74,Products!$A:$A,0)),""))</f>
        <v/>
      </c>
      <c r="L74" s="38">
        <f>IF(A74="","",IF(A74=A73,M73+1,1))</f>
        <v/>
      </c>
      <c r="M74" s="38">
        <f>IF(OR(L74="",I74=""),"",L74+I74-1)</f>
        <v/>
      </c>
      <c r="N74" s="38">
        <f>IF(A74="","",SUMIF($A$2:$A$500,A74,$I$2:$I$500))</f>
        <v/>
      </c>
    </row>
    <row r="75" ht="15" customHeight="1" s="22">
      <c r="J75" s="38">
        <f>IF(G75="","",IFERROR(INDEX(PackRates!$C:$C,MATCH(1,INDEX((PackRates!$A$1:$A$500=G75)*(PackRates!$B$1:$B$500=H75),0),0)),""))</f>
        <v/>
      </c>
      <c r="K75" s="38">
        <f>IF(OR(I75="",J75=""),"",IFERROR(I75*J75*INDEX(Products!$K:$K,MATCH(G75,Products!$A:$A,0)),""))</f>
        <v/>
      </c>
      <c r="L75" s="38">
        <f>IF(A75="","",IF(A75=A74,M74+1,1))</f>
        <v/>
      </c>
      <c r="M75" s="38">
        <f>IF(OR(L75="",I75=""),"",L75+I75-1)</f>
        <v/>
      </c>
      <c r="N75" s="38">
        <f>IF(A75="","",SUMIF($A$2:$A$500,A75,$I$2:$I$500))</f>
        <v/>
      </c>
    </row>
    <row r="76" ht="15" customHeight="1" s="22">
      <c r="J76" s="38">
        <f>IF(G76="","",IFERROR(INDEX(PackRates!$C:$C,MATCH(1,INDEX((PackRates!$A$1:$A$500=G76)*(PackRates!$B$1:$B$500=H76),0),0)),""))</f>
        <v/>
      </c>
      <c r="K76" s="38">
        <f>IF(OR(I76="",J76=""),"",IFERROR(I76*J76*INDEX(Products!$K:$K,MATCH(G76,Products!$A:$A,0)),""))</f>
        <v/>
      </c>
      <c r="L76" s="38">
        <f>IF(A76="","",IF(A76=A75,M75+1,1))</f>
        <v/>
      </c>
      <c r="M76" s="38">
        <f>IF(OR(L76="",I76=""),"",L76+I76-1)</f>
        <v/>
      </c>
      <c r="N76" s="38">
        <f>IF(A76="","",SUMIF($A$2:$A$500,A76,$I$2:$I$500))</f>
        <v/>
      </c>
    </row>
    <row r="77" ht="15" customHeight="1" s="22">
      <c r="J77" s="38">
        <f>IF(G77="","",IFERROR(INDEX(PackRates!$C:$C,MATCH(1,INDEX((PackRates!$A$1:$A$500=G77)*(PackRates!$B$1:$B$500=H77),0),0)),""))</f>
        <v/>
      </c>
      <c r="K77" s="38">
        <f>IF(OR(I77="",J77=""),"",IFERROR(I77*J77*INDEX(Products!$K:$K,MATCH(G77,Products!$A:$A,0)),""))</f>
        <v/>
      </c>
      <c r="L77" s="38">
        <f>IF(A77="","",IF(A77=A76,M76+1,1))</f>
        <v/>
      </c>
      <c r="M77" s="38">
        <f>IF(OR(L77="",I77=""),"",L77+I77-1)</f>
        <v/>
      </c>
      <c r="N77" s="38">
        <f>IF(A77="","",SUMIF($A$2:$A$500,A77,$I$2:$I$500))</f>
        <v/>
      </c>
    </row>
    <row r="78" ht="15" customHeight="1" s="22">
      <c r="J78" s="38">
        <f>IF(G78="","",IFERROR(INDEX(PackRates!$C:$C,MATCH(1,INDEX((PackRates!$A$1:$A$500=G78)*(PackRates!$B$1:$B$500=H78),0),0)),""))</f>
        <v/>
      </c>
      <c r="K78" s="38">
        <f>IF(OR(I78="",J78=""),"",IFERROR(I78*J78*INDEX(Products!$K:$K,MATCH(G78,Products!$A:$A,0)),""))</f>
        <v/>
      </c>
      <c r="L78" s="38">
        <f>IF(A78="","",IF(A78=A77,M77+1,1))</f>
        <v/>
      </c>
      <c r="M78" s="38">
        <f>IF(OR(L78="",I78=""),"",L78+I78-1)</f>
        <v/>
      </c>
      <c r="N78" s="38">
        <f>IF(A78="","",SUMIF($A$2:$A$500,A78,$I$2:$I$500))</f>
        <v/>
      </c>
    </row>
    <row r="79" ht="15" customHeight="1" s="22">
      <c r="J79" s="38">
        <f>IF(G79="","",IFERROR(INDEX(PackRates!$C:$C,MATCH(1,INDEX((PackRates!$A$1:$A$500=G79)*(PackRates!$B$1:$B$500=H79),0),0)),""))</f>
        <v/>
      </c>
      <c r="K79" s="38">
        <f>IF(OR(I79="",J79=""),"",IFERROR(I79*J79*INDEX(Products!$K:$K,MATCH(G79,Products!$A:$A,0)),""))</f>
        <v/>
      </c>
      <c r="L79" s="38">
        <f>IF(A79="","",IF(A79=A78,M78+1,1))</f>
        <v/>
      </c>
      <c r="M79" s="38">
        <f>IF(OR(L79="",I79=""),"",L79+I79-1)</f>
        <v/>
      </c>
      <c r="N79" s="38">
        <f>IF(A79="","",SUMIF($A$2:$A$500,A79,$I$2:$I$500))</f>
        <v/>
      </c>
    </row>
    <row r="80" ht="15" customHeight="1" s="22">
      <c r="J80" s="38">
        <f>IF(G80="","",IFERROR(INDEX(PackRates!$C:$C,MATCH(1,INDEX((PackRates!$A$1:$A$500=G80)*(PackRates!$B$1:$B$500=H80),0),0)),""))</f>
        <v/>
      </c>
      <c r="K80" s="38">
        <f>IF(OR(I80="",J80=""),"",IFERROR(I80*J80*INDEX(Products!$K:$K,MATCH(G80,Products!$A:$A,0)),""))</f>
        <v/>
      </c>
      <c r="L80" s="38">
        <f>IF(A80="","",IF(A80=A79,M79+1,1))</f>
        <v/>
      </c>
      <c r="M80" s="38">
        <f>IF(OR(L80="",I80=""),"",L80+I80-1)</f>
        <v/>
      </c>
      <c r="N80" s="38">
        <f>IF(A80="","",SUMIF($A$2:$A$500,A80,$I$2:$I$500))</f>
        <v/>
      </c>
    </row>
    <row r="81" ht="15" customHeight="1" s="22">
      <c r="J81" s="38">
        <f>IF(G81="","",IFERROR(INDEX(PackRates!$C:$C,MATCH(1,INDEX((PackRates!$A$1:$A$500=G81)*(PackRates!$B$1:$B$500=H81),0),0)),""))</f>
        <v/>
      </c>
      <c r="K81" s="38">
        <f>IF(OR(I81="",J81=""),"",IFERROR(I81*J81*INDEX(Products!$K:$K,MATCH(G81,Products!$A:$A,0)),""))</f>
        <v/>
      </c>
      <c r="L81" s="38">
        <f>IF(A81="","",IF(A81=A80,M80+1,1))</f>
        <v/>
      </c>
      <c r="M81" s="38">
        <f>IF(OR(L81="",I81=""),"",L81+I81-1)</f>
        <v/>
      </c>
      <c r="N81" s="38">
        <f>IF(A81="","",SUMIF($A$2:$A$500,A81,$I$2:$I$500))</f>
        <v/>
      </c>
    </row>
    <row r="82" ht="15" customHeight="1" s="22">
      <c r="J82" s="38">
        <f>IF(G82="","",IFERROR(INDEX(PackRates!$C:$C,MATCH(1,INDEX((PackRates!$A$1:$A$500=G82)*(PackRates!$B$1:$B$500=H82),0),0)),""))</f>
        <v/>
      </c>
      <c r="K82" s="38">
        <f>IF(OR(I82="",J82=""),"",IFERROR(I82*J82*INDEX(Products!$K:$K,MATCH(G82,Products!$A:$A,0)),""))</f>
        <v/>
      </c>
      <c r="L82" s="38">
        <f>IF(A82="","",IF(A82=A81,M81+1,1))</f>
        <v/>
      </c>
      <c r="M82" s="38">
        <f>IF(OR(L82="",I82=""),"",L82+I82-1)</f>
        <v/>
      </c>
      <c r="N82" s="38">
        <f>IF(A82="","",SUMIF($A$2:$A$500,A82,$I$2:$I$500))</f>
        <v/>
      </c>
    </row>
    <row r="83" ht="15" customHeight="1" s="22">
      <c r="J83" s="38">
        <f>IF(G83="","",IFERROR(INDEX(PackRates!$C:$C,MATCH(1,INDEX((PackRates!$A$1:$A$500=G83)*(PackRates!$B$1:$B$500=H83),0),0)),""))</f>
        <v/>
      </c>
      <c r="K83" s="38">
        <f>IF(OR(I83="",J83=""),"",IFERROR(I83*J83*INDEX(Products!$K:$K,MATCH(G83,Products!$A:$A,0)),""))</f>
        <v/>
      </c>
      <c r="L83" s="38">
        <f>IF(A83="","",IF(A83=A82,M82+1,1))</f>
        <v/>
      </c>
      <c r="M83" s="38">
        <f>IF(OR(L83="",I83=""),"",L83+I83-1)</f>
        <v/>
      </c>
      <c r="N83" s="38">
        <f>IF(A83="","",SUMIF($A$2:$A$500,A83,$I$2:$I$500))</f>
        <v/>
      </c>
    </row>
    <row r="84" ht="15" customHeight="1" s="22">
      <c r="J84" s="38">
        <f>IF(G84="","",IFERROR(INDEX(PackRates!$C:$C,MATCH(1,INDEX((PackRates!$A$1:$A$500=G84)*(PackRates!$B$1:$B$500=H84),0),0)),""))</f>
        <v/>
      </c>
      <c r="K84" s="38">
        <f>IF(OR(I84="",J84=""),"",IFERROR(I84*J84*INDEX(Products!$K:$K,MATCH(G84,Products!$A:$A,0)),""))</f>
        <v/>
      </c>
      <c r="L84" s="38">
        <f>IF(A84="","",IF(A84=A83,M83+1,1))</f>
        <v/>
      </c>
      <c r="M84" s="38">
        <f>IF(OR(L84="",I84=""),"",L84+I84-1)</f>
        <v/>
      </c>
      <c r="N84" s="38">
        <f>IF(A84="","",SUMIF($A$2:$A$500,A84,$I$2:$I$500))</f>
        <v/>
      </c>
    </row>
    <row r="85" ht="15" customHeight="1" s="22">
      <c r="J85" s="38">
        <f>IF(G85="","",IFERROR(INDEX(PackRates!$C:$C,MATCH(1,INDEX((PackRates!$A$1:$A$500=G85)*(PackRates!$B$1:$B$500=H85),0),0)),""))</f>
        <v/>
      </c>
      <c r="K85" s="38">
        <f>IF(OR(I85="",J85=""),"",IFERROR(I85*J85*INDEX(Products!$K:$K,MATCH(G85,Products!$A:$A,0)),""))</f>
        <v/>
      </c>
      <c r="L85" s="38">
        <f>IF(A85="","",IF(A85=A84,M84+1,1))</f>
        <v/>
      </c>
      <c r="M85" s="38">
        <f>IF(OR(L85="",I85=""),"",L85+I85-1)</f>
        <v/>
      </c>
      <c r="N85" s="38">
        <f>IF(A85="","",SUMIF($A$2:$A$500,A85,$I$2:$I$500))</f>
        <v/>
      </c>
    </row>
    <row r="86" ht="15" customHeight="1" s="22">
      <c r="J86" s="38">
        <f>IF(G86="","",IFERROR(INDEX(PackRates!$C:$C,MATCH(1,INDEX((PackRates!$A$1:$A$500=G86)*(PackRates!$B$1:$B$500=H86),0),0)),""))</f>
        <v/>
      </c>
      <c r="K86" s="38">
        <f>IF(OR(I86="",J86=""),"",IFERROR(I86*J86*INDEX(Products!$K:$K,MATCH(G86,Products!$A:$A,0)),""))</f>
        <v/>
      </c>
      <c r="L86" s="38">
        <f>IF(A86="","",IF(A86=A85,M85+1,1))</f>
        <v/>
      </c>
      <c r="M86" s="38">
        <f>IF(OR(L86="",I86=""),"",L86+I86-1)</f>
        <v/>
      </c>
      <c r="N86" s="38">
        <f>IF(A86="","",SUMIF($A$2:$A$500,A86,$I$2:$I$500))</f>
        <v/>
      </c>
    </row>
    <row r="87" ht="15" customHeight="1" s="22">
      <c r="J87" s="38">
        <f>IF(G87="","",IFERROR(INDEX(PackRates!$C:$C,MATCH(1,INDEX((PackRates!$A$1:$A$500=G87)*(PackRates!$B$1:$B$500=H87),0),0)),""))</f>
        <v/>
      </c>
      <c r="K87" s="38">
        <f>IF(OR(I87="",J87=""),"",IFERROR(I87*J87*INDEX(Products!$K:$K,MATCH(G87,Products!$A:$A,0)),""))</f>
        <v/>
      </c>
      <c r="L87" s="38">
        <f>IF(A87="","",IF(A87=A86,M86+1,1))</f>
        <v/>
      </c>
      <c r="M87" s="38">
        <f>IF(OR(L87="",I87=""),"",L87+I87-1)</f>
        <v/>
      </c>
      <c r="N87" s="38">
        <f>IF(A87="","",SUMIF($A$2:$A$500,A87,$I$2:$I$500))</f>
        <v/>
      </c>
    </row>
    <row r="88" ht="15" customHeight="1" s="22">
      <c r="J88" s="38">
        <f>IF(G88="","",IFERROR(INDEX(PackRates!$C:$C,MATCH(1,INDEX((PackRates!$A$1:$A$500=G88)*(PackRates!$B$1:$B$500=H88),0),0)),""))</f>
        <v/>
      </c>
      <c r="K88" s="38">
        <f>IF(OR(I88="",J88=""),"",IFERROR(I88*J88*INDEX(Products!$K:$K,MATCH(G88,Products!$A:$A,0)),""))</f>
        <v/>
      </c>
      <c r="L88" s="38">
        <f>IF(A88="","",IF(A88=A87,M87+1,1))</f>
        <v/>
      </c>
      <c r="M88" s="38">
        <f>IF(OR(L88="",I88=""),"",L88+I88-1)</f>
        <v/>
      </c>
      <c r="N88" s="38">
        <f>IF(A88="","",SUMIF($A$2:$A$500,A88,$I$2:$I$500))</f>
        <v/>
      </c>
    </row>
    <row r="89" ht="15" customHeight="1" s="22">
      <c r="J89" s="38">
        <f>IF(G89="","",IFERROR(INDEX(PackRates!$C:$C,MATCH(1,INDEX((PackRates!$A$1:$A$500=G89)*(PackRates!$B$1:$B$500=H89),0),0)),""))</f>
        <v/>
      </c>
      <c r="K89" s="38">
        <f>IF(OR(I89="",J89=""),"",IFERROR(I89*J89*INDEX(Products!$K:$K,MATCH(G89,Products!$A:$A,0)),""))</f>
        <v/>
      </c>
      <c r="L89" s="38">
        <f>IF(A89="","",IF(A89=A88,M88+1,1))</f>
        <v/>
      </c>
      <c r="M89" s="38">
        <f>IF(OR(L89="",I89=""),"",L89+I89-1)</f>
        <v/>
      </c>
      <c r="N89" s="38">
        <f>IF(A89="","",SUMIF($A$2:$A$500,A89,$I$2:$I$500))</f>
        <v/>
      </c>
    </row>
    <row r="90" ht="15" customHeight="1" s="22">
      <c r="J90" s="38">
        <f>IF(G90="","",IFERROR(INDEX(PackRates!$C:$C,MATCH(1,INDEX((PackRates!$A$1:$A$500=G90)*(PackRates!$B$1:$B$500=H90),0),0)),""))</f>
        <v/>
      </c>
      <c r="K90" s="38">
        <f>IF(OR(I90="",J90=""),"",IFERROR(I90*J90*INDEX(Products!$K:$K,MATCH(G90,Products!$A:$A,0)),""))</f>
        <v/>
      </c>
      <c r="L90" s="38">
        <f>IF(A90="","",IF(A90=A89,M89+1,1))</f>
        <v/>
      </c>
      <c r="M90" s="38">
        <f>IF(OR(L90="",I90=""),"",L90+I90-1)</f>
        <v/>
      </c>
      <c r="N90" s="38">
        <f>IF(A90="","",SUMIF($A$2:$A$500,A90,$I$2:$I$500))</f>
        <v/>
      </c>
    </row>
    <row r="91" ht="15" customHeight="1" s="22">
      <c r="J91" s="38">
        <f>IF(G91="","",IFERROR(INDEX(PackRates!$C:$C,MATCH(1,INDEX((PackRates!$A$1:$A$500=G91)*(PackRates!$B$1:$B$500=H91),0),0)),""))</f>
        <v/>
      </c>
      <c r="K91" s="38">
        <f>IF(OR(I91="",J91=""),"",IFERROR(I91*J91*INDEX(Products!$K:$K,MATCH(G91,Products!$A:$A,0)),""))</f>
        <v/>
      </c>
      <c r="L91" s="38">
        <f>IF(A91="","",IF(A91=A90,M90+1,1))</f>
        <v/>
      </c>
      <c r="M91" s="38">
        <f>IF(OR(L91="",I91=""),"",L91+I91-1)</f>
        <v/>
      </c>
      <c r="N91" s="38">
        <f>IF(A91="","",SUMIF($A$2:$A$500,A91,$I$2:$I$500))</f>
        <v/>
      </c>
    </row>
    <row r="92" ht="15" customHeight="1" s="22">
      <c r="J92" s="38">
        <f>IF(G92="","",IFERROR(INDEX(PackRates!$C:$C,MATCH(1,INDEX((PackRates!$A$1:$A$500=G92)*(PackRates!$B$1:$B$500=H92),0),0)),""))</f>
        <v/>
      </c>
      <c r="K92" s="38">
        <f>IF(OR(I92="",J92=""),"",IFERROR(I92*J92*INDEX(Products!$K:$K,MATCH(G92,Products!$A:$A,0)),""))</f>
        <v/>
      </c>
      <c r="L92" s="38">
        <f>IF(A92="","",IF(A92=A91,M91+1,1))</f>
        <v/>
      </c>
      <c r="M92" s="38">
        <f>IF(OR(L92="",I92=""),"",L92+I92-1)</f>
        <v/>
      </c>
      <c r="N92" s="38">
        <f>IF(A92="","",SUMIF($A$2:$A$500,A92,$I$2:$I$500))</f>
        <v/>
      </c>
    </row>
    <row r="93" ht="15" customHeight="1" s="22">
      <c r="J93" s="38">
        <f>IF(G93="","",IFERROR(INDEX(PackRates!$C:$C,MATCH(1,INDEX((PackRates!$A$1:$A$500=G93)*(PackRates!$B$1:$B$500=H93),0),0)),""))</f>
        <v/>
      </c>
      <c r="K93" s="38">
        <f>IF(OR(I93="",J93=""),"",IFERROR(I93*J93*INDEX(Products!$K:$K,MATCH(G93,Products!$A:$A,0)),""))</f>
        <v/>
      </c>
      <c r="L93" s="38">
        <f>IF(A93="","",IF(A93=A92,M92+1,1))</f>
        <v/>
      </c>
      <c r="M93" s="38">
        <f>IF(OR(L93="",I93=""),"",L93+I93-1)</f>
        <v/>
      </c>
      <c r="N93" s="38">
        <f>IF(A93="","",SUMIF($A$2:$A$500,A93,$I$2:$I$500))</f>
        <v/>
      </c>
    </row>
    <row r="94" ht="15" customHeight="1" s="22">
      <c r="J94" s="38">
        <f>IF(G94="","",IFERROR(INDEX(PackRates!$C:$C,MATCH(1,INDEX((PackRates!$A$1:$A$500=G94)*(PackRates!$B$1:$B$500=H94),0),0)),""))</f>
        <v/>
      </c>
      <c r="K94" s="38">
        <f>IF(OR(I94="",J94=""),"",IFERROR(I94*J94*INDEX(Products!$K:$K,MATCH(G94,Products!$A:$A,0)),""))</f>
        <v/>
      </c>
      <c r="L94" s="38">
        <f>IF(A94="","",IF(A94=A93,M93+1,1))</f>
        <v/>
      </c>
      <c r="M94" s="38">
        <f>IF(OR(L94="",I94=""),"",L94+I94-1)</f>
        <v/>
      </c>
      <c r="N94" s="38">
        <f>IF(A94="","",SUMIF($A$2:$A$500,A94,$I$2:$I$500))</f>
        <v/>
      </c>
    </row>
    <row r="95" ht="15" customHeight="1" s="22">
      <c r="J95" s="38">
        <f>IF(G95="","",IFERROR(INDEX(PackRates!$C:$C,MATCH(1,INDEX((PackRates!$A$1:$A$500=G95)*(PackRates!$B$1:$B$500=H95),0),0)),""))</f>
        <v/>
      </c>
      <c r="K95" s="38">
        <f>IF(OR(I95="",J95=""),"",IFERROR(I95*J95*INDEX(Products!$K:$K,MATCH(G95,Products!$A:$A,0)),""))</f>
        <v/>
      </c>
      <c r="L95" s="38">
        <f>IF(A95="","",IF(A95=A94,M94+1,1))</f>
        <v/>
      </c>
      <c r="M95" s="38">
        <f>IF(OR(L95="",I95=""),"",L95+I95-1)</f>
        <v/>
      </c>
      <c r="N95" s="38">
        <f>IF(A95="","",SUMIF($A$2:$A$500,A95,$I$2:$I$500))</f>
        <v/>
      </c>
    </row>
    <row r="96" ht="15" customHeight="1" s="22">
      <c r="J96" s="38">
        <f>IF(G96="","",IFERROR(INDEX(PackRates!$C:$C,MATCH(1,INDEX((PackRates!$A$1:$A$500=G96)*(PackRates!$B$1:$B$500=H96),0),0)),""))</f>
        <v/>
      </c>
      <c r="K96" s="38">
        <f>IF(OR(I96="",J96=""),"",IFERROR(I96*J96*INDEX(Products!$K:$K,MATCH(G96,Products!$A:$A,0)),""))</f>
        <v/>
      </c>
      <c r="L96" s="38">
        <f>IF(A96="","",IF(A96=A95,M95+1,1))</f>
        <v/>
      </c>
      <c r="M96" s="38">
        <f>IF(OR(L96="",I96=""),"",L96+I96-1)</f>
        <v/>
      </c>
      <c r="N96" s="38">
        <f>IF(A96="","",SUMIF($A$2:$A$500,A96,$I$2:$I$500))</f>
        <v/>
      </c>
    </row>
    <row r="97" ht="15" customHeight="1" s="22">
      <c r="J97" s="38">
        <f>IF(G97="","",IFERROR(INDEX(PackRates!$C:$C,MATCH(1,INDEX((PackRates!$A$1:$A$500=G97)*(PackRates!$B$1:$B$500=H97),0),0)),""))</f>
        <v/>
      </c>
      <c r="K97" s="38">
        <f>IF(OR(I97="",J97=""),"",IFERROR(I97*J97*INDEX(Products!$K:$K,MATCH(G97,Products!$A:$A,0)),""))</f>
        <v/>
      </c>
      <c r="L97" s="38">
        <f>IF(A97="","",IF(A97=A96,M96+1,1))</f>
        <v/>
      </c>
      <c r="M97" s="38">
        <f>IF(OR(L97="",I97=""),"",L97+I97-1)</f>
        <v/>
      </c>
      <c r="N97" s="38">
        <f>IF(A97="","",SUMIF($A$2:$A$500,A97,$I$2:$I$500))</f>
        <v/>
      </c>
    </row>
    <row r="98" ht="15" customHeight="1" s="22">
      <c r="J98" s="38">
        <f>IF(G98="","",IFERROR(INDEX(PackRates!$C:$C,MATCH(1,INDEX((PackRates!$A$1:$A$500=G98)*(PackRates!$B$1:$B$500=H98),0),0)),""))</f>
        <v/>
      </c>
      <c r="K98" s="38">
        <f>IF(OR(I98="",J98=""),"",IFERROR(I98*J98*INDEX(Products!$K:$K,MATCH(G98,Products!$A:$A,0)),""))</f>
        <v/>
      </c>
      <c r="L98" s="38">
        <f>IF(A98="","",IF(A98=A97,M97+1,1))</f>
        <v/>
      </c>
      <c r="M98" s="38">
        <f>IF(OR(L98="",I98=""),"",L98+I98-1)</f>
        <v/>
      </c>
      <c r="N98" s="38">
        <f>IF(A98="","",SUMIF($A$2:$A$500,A98,$I$2:$I$500))</f>
        <v/>
      </c>
    </row>
    <row r="99" ht="15" customHeight="1" s="22">
      <c r="J99" s="38">
        <f>IF(G99="","",IFERROR(INDEX(PackRates!$C:$C,MATCH(1,INDEX((PackRates!$A$1:$A$500=G99)*(PackRates!$B$1:$B$500=H99),0),0)),""))</f>
        <v/>
      </c>
      <c r="K99" s="38">
        <f>IF(OR(I99="",J99=""),"",IFERROR(I99*J99*INDEX(Products!$K:$K,MATCH(G99,Products!$A:$A,0)),""))</f>
        <v/>
      </c>
      <c r="L99" s="38">
        <f>IF(A99="","",IF(A99=A98,M98+1,1))</f>
        <v/>
      </c>
      <c r="M99" s="38">
        <f>IF(OR(L99="",I99=""),"",L99+I99-1)</f>
        <v/>
      </c>
      <c r="N99" s="38">
        <f>IF(A99="","",SUMIF($A$2:$A$500,A99,$I$2:$I$500))</f>
        <v/>
      </c>
    </row>
    <row r="100" ht="15" customHeight="1" s="22">
      <c r="J100" s="38">
        <f>IF(G100="","",IFERROR(INDEX(PackRates!$C:$C,MATCH(1,INDEX((PackRates!$A$1:$A$500=G100)*(PackRates!$B$1:$B$500=H100),0),0)),""))</f>
        <v/>
      </c>
      <c r="K100" s="38">
        <f>IF(OR(I100="",J100=""),"",IFERROR(I100*J100*INDEX(Products!$K:$K,MATCH(G100,Products!$A:$A,0)),""))</f>
        <v/>
      </c>
      <c r="L100" s="38">
        <f>IF(A100="","",IF(A100=A99,M99+1,1))</f>
        <v/>
      </c>
      <c r="M100" s="38">
        <f>IF(OR(L100="",I100=""),"",L100+I100-1)</f>
        <v/>
      </c>
      <c r="N100" s="38">
        <f>IF(A100="","",SUMIF($A$2:$A$500,A100,$I$2:$I$500))</f>
        <v/>
      </c>
    </row>
    <row r="101" ht="15" customHeight="1" s="22">
      <c r="J101" s="38">
        <f>IF(G101="","",IFERROR(INDEX(PackRates!$C:$C,MATCH(1,INDEX((PackRates!$A$1:$A$500=G101)*(PackRates!$B$1:$B$500=H101),0),0)),""))</f>
        <v/>
      </c>
      <c r="K101" s="38">
        <f>IF(OR(I101="",J101=""),"",IFERROR(I101*J101*INDEX(Products!$K:$K,MATCH(G101,Products!$A:$A,0)),""))</f>
        <v/>
      </c>
      <c r="L101" s="38">
        <f>IF(A101="","",IF(A101=A100,M100+1,1))</f>
        <v/>
      </c>
      <c r="M101" s="38">
        <f>IF(OR(L101="",I101=""),"",L101+I101-1)</f>
        <v/>
      </c>
      <c r="N101" s="38">
        <f>IF(A101="","",SUMIF($A$2:$A$500,A101,$I$2:$I$500))</f>
        <v/>
      </c>
    </row>
    <row r="102" ht="15" customHeight="1" s="22">
      <c r="J102" s="38">
        <f>IF(G102="","",IFERROR(INDEX(PackRates!$C:$C,MATCH(1,INDEX((PackRates!$A$1:$A$500=G102)*(PackRates!$B$1:$B$500=H102),0),0)),""))</f>
        <v/>
      </c>
      <c r="K102" s="38">
        <f>IF(OR(I102="",J102=""),"",IFERROR(I102*J102*INDEX(Products!$K:$K,MATCH(G102,Products!$A:$A,0)),""))</f>
        <v/>
      </c>
      <c r="L102" s="38">
        <f>IF(A102="","",IF(A102=A101,M101+1,1))</f>
        <v/>
      </c>
      <c r="M102" s="38">
        <f>IF(OR(L102="",I102=""),"",L102+I102-1)</f>
        <v/>
      </c>
      <c r="N102" s="38">
        <f>IF(A102="","",SUMIF($A$2:$A$500,A102,$I$2:$I$500))</f>
        <v/>
      </c>
    </row>
    <row r="103" ht="15" customHeight="1" s="22">
      <c r="J103" s="38">
        <f>IF(G103="","",IFERROR(INDEX(PackRates!$C:$C,MATCH(1,INDEX((PackRates!$A$1:$A$500=G103)*(PackRates!$B$1:$B$500=H103),0),0)),""))</f>
        <v/>
      </c>
      <c r="K103" s="38">
        <f>IF(OR(I103="",J103=""),"",IFERROR(I103*J103*INDEX(Products!$K:$K,MATCH(G103,Products!$A:$A,0)),""))</f>
        <v/>
      </c>
      <c r="L103" s="38">
        <f>IF(A103="","",IF(A103=A102,M102+1,1))</f>
        <v/>
      </c>
      <c r="M103" s="38">
        <f>IF(OR(L103="",I103=""),"",L103+I103-1)</f>
        <v/>
      </c>
      <c r="N103" s="38">
        <f>IF(A103="","",SUMIF($A$2:$A$500,A103,$I$2:$I$500))</f>
        <v/>
      </c>
    </row>
    <row r="104" ht="15" customHeight="1" s="22">
      <c r="J104" s="38">
        <f>IF(G104="","",IFERROR(INDEX(PackRates!$C:$C,MATCH(1,INDEX((PackRates!$A$1:$A$500=G104)*(PackRates!$B$1:$B$500=H104),0),0)),""))</f>
        <v/>
      </c>
      <c r="K104" s="38">
        <f>IF(OR(I104="",J104=""),"",IFERROR(I104*J104*INDEX(Products!$K:$K,MATCH(G104,Products!$A:$A,0)),""))</f>
        <v/>
      </c>
      <c r="L104" s="38">
        <f>IF(A104="","",IF(A104=A103,M103+1,1))</f>
        <v/>
      </c>
      <c r="M104" s="38">
        <f>IF(OR(L104="",I104=""),"",L104+I104-1)</f>
        <v/>
      </c>
      <c r="N104" s="38">
        <f>IF(A104="","",SUMIF($A$2:$A$500,A104,$I$2:$I$500))</f>
        <v/>
      </c>
    </row>
    <row r="105" ht="15" customHeight="1" s="22">
      <c r="J105" s="38">
        <f>IF(G105="","",IFERROR(INDEX(PackRates!$C:$C,MATCH(1,INDEX((PackRates!$A$1:$A$500=G105)*(PackRates!$B$1:$B$500=H105),0),0)),""))</f>
        <v/>
      </c>
      <c r="K105" s="38">
        <f>IF(OR(I105="",J105=""),"",IFERROR(I105*J105*INDEX(Products!$K:$K,MATCH(G105,Products!$A:$A,0)),""))</f>
        <v/>
      </c>
      <c r="L105" s="38">
        <f>IF(A105="","",IF(A105=A104,M104+1,1))</f>
        <v/>
      </c>
      <c r="M105" s="38">
        <f>IF(OR(L105="",I105=""),"",L105+I105-1)</f>
        <v/>
      </c>
      <c r="N105" s="38">
        <f>IF(A105="","",SUMIF($A$2:$A$500,A105,$I$2:$I$500))</f>
        <v/>
      </c>
    </row>
    <row r="106" ht="15" customHeight="1" s="22">
      <c r="J106" s="38">
        <f>IF(G106="","",IFERROR(INDEX(PackRates!$C:$C,MATCH(1,INDEX((PackRates!$A$1:$A$500=G106)*(PackRates!$B$1:$B$500=H106),0),0)),""))</f>
        <v/>
      </c>
      <c r="K106" s="38">
        <f>IF(OR(I106="",J106=""),"",IFERROR(I106*J106*INDEX(Products!$K:$K,MATCH(G106,Products!$A:$A,0)),""))</f>
        <v/>
      </c>
      <c r="L106" s="38">
        <f>IF(A106="","",IF(A106=A105,M105+1,1))</f>
        <v/>
      </c>
      <c r="M106" s="38">
        <f>IF(OR(L106="",I106=""),"",L106+I106-1)</f>
        <v/>
      </c>
      <c r="N106" s="38">
        <f>IF(A106="","",SUMIF($A$2:$A$500,A106,$I$2:$I$500))</f>
        <v/>
      </c>
    </row>
    <row r="107" ht="15" customHeight="1" s="22">
      <c r="J107" s="38">
        <f>IF(G107="","",IFERROR(INDEX(PackRates!$C:$C,MATCH(1,INDEX((PackRates!$A$1:$A$500=G107)*(PackRates!$B$1:$B$500=H107),0),0)),""))</f>
        <v/>
      </c>
      <c r="K107" s="38">
        <f>IF(OR(I107="",J107=""),"",IFERROR(I107*J107*INDEX(Products!$K:$K,MATCH(G107,Products!$A:$A,0)),""))</f>
        <v/>
      </c>
      <c r="L107" s="38">
        <f>IF(A107="","",IF(A107=A106,M106+1,1))</f>
        <v/>
      </c>
      <c r="M107" s="38">
        <f>IF(OR(L107="",I107=""),"",L107+I107-1)</f>
        <v/>
      </c>
      <c r="N107" s="38">
        <f>IF(A107="","",SUMIF($A$2:$A$500,A107,$I$2:$I$500))</f>
        <v/>
      </c>
    </row>
    <row r="108" ht="15" customHeight="1" s="22">
      <c r="J108" s="38">
        <f>IF(G108="","",IFERROR(INDEX(PackRates!$C:$C,MATCH(1,INDEX((PackRates!$A$1:$A$500=G108)*(PackRates!$B$1:$B$500=H108),0),0)),""))</f>
        <v/>
      </c>
      <c r="K108" s="38">
        <f>IF(OR(I108="",J108=""),"",IFERROR(I108*J108*INDEX(Products!$K:$K,MATCH(G108,Products!$A:$A,0)),""))</f>
        <v/>
      </c>
      <c r="L108" s="38">
        <f>IF(A108="","",IF(A108=A107,M107+1,1))</f>
        <v/>
      </c>
      <c r="M108" s="38">
        <f>IF(OR(L108="",I108=""),"",L108+I108-1)</f>
        <v/>
      </c>
      <c r="N108" s="38">
        <f>IF(A108="","",SUMIF($A$2:$A$500,A108,$I$2:$I$500))</f>
        <v/>
      </c>
    </row>
    <row r="109" ht="15" customHeight="1" s="22">
      <c r="J109" s="38">
        <f>IF(G109="","",IFERROR(INDEX(PackRates!$C:$C,MATCH(1,INDEX((PackRates!$A$1:$A$500=G109)*(PackRates!$B$1:$B$500=H109),0),0)),""))</f>
        <v/>
      </c>
      <c r="K109" s="38">
        <f>IF(OR(I109="",J109=""),"",IFERROR(I109*J109*INDEX(Products!$K:$K,MATCH(G109,Products!$A:$A,0)),""))</f>
        <v/>
      </c>
      <c r="L109" s="38">
        <f>IF(A109="","",IF(A109=A108,M108+1,1))</f>
        <v/>
      </c>
      <c r="M109" s="38">
        <f>IF(OR(L109="",I109=""),"",L109+I109-1)</f>
        <v/>
      </c>
      <c r="N109" s="38">
        <f>IF(A109="","",SUMIF($A$2:$A$500,A109,$I$2:$I$500))</f>
        <v/>
      </c>
    </row>
    <row r="110" ht="15" customHeight="1" s="22">
      <c r="J110" s="38">
        <f>IF(G110="","",IFERROR(INDEX(PackRates!$C:$C,MATCH(1,INDEX((PackRates!$A$1:$A$500=G110)*(PackRates!$B$1:$B$500=H110),0),0)),""))</f>
        <v/>
      </c>
      <c r="K110" s="38">
        <f>IF(OR(I110="",J110=""),"",IFERROR(I110*J110*INDEX(Products!$K:$K,MATCH(G110,Products!$A:$A,0)),""))</f>
        <v/>
      </c>
      <c r="L110" s="38">
        <f>IF(A110="","",IF(A110=A109,M109+1,1))</f>
        <v/>
      </c>
      <c r="M110" s="38">
        <f>IF(OR(L110="",I110=""),"",L110+I110-1)</f>
        <v/>
      </c>
      <c r="N110" s="38">
        <f>IF(A110="","",SUMIF($A$2:$A$500,A110,$I$2:$I$500))</f>
        <v/>
      </c>
    </row>
    <row r="111" ht="15" customHeight="1" s="22">
      <c r="J111" s="38">
        <f>IF(G111="","",IFERROR(INDEX(PackRates!$C:$C,MATCH(1,INDEX((PackRates!$A$1:$A$500=G111)*(PackRates!$B$1:$B$500=H111),0),0)),""))</f>
        <v/>
      </c>
      <c r="K111" s="38">
        <f>IF(OR(I111="",J111=""),"",IFERROR(I111*J111*INDEX(Products!$K:$K,MATCH(G111,Products!$A:$A,0)),""))</f>
        <v/>
      </c>
      <c r="L111" s="38">
        <f>IF(A111="","",IF(A111=A110,M110+1,1))</f>
        <v/>
      </c>
      <c r="M111" s="38">
        <f>IF(OR(L111="",I111=""),"",L111+I111-1)</f>
        <v/>
      </c>
      <c r="N111" s="38">
        <f>IF(A111="","",SUMIF($A$2:$A$500,A111,$I$2:$I$500))</f>
        <v/>
      </c>
    </row>
    <row r="112" ht="15" customHeight="1" s="22">
      <c r="J112" s="38">
        <f>IF(G112="","",IFERROR(INDEX(PackRates!$C:$C,MATCH(1,INDEX((PackRates!$A$1:$A$500=G112)*(PackRates!$B$1:$B$500=H112),0),0)),""))</f>
        <v/>
      </c>
      <c r="K112" s="38">
        <f>IF(OR(I112="",J112=""),"",IFERROR(I112*J112*INDEX(Products!$K:$K,MATCH(G112,Products!$A:$A,0)),""))</f>
        <v/>
      </c>
      <c r="L112" s="38">
        <f>IF(A112="","",IF(A112=A111,M111+1,1))</f>
        <v/>
      </c>
      <c r="M112" s="38">
        <f>IF(OR(L112="",I112=""),"",L112+I112-1)</f>
        <v/>
      </c>
      <c r="N112" s="38">
        <f>IF(A112="","",SUMIF($A$2:$A$500,A112,$I$2:$I$500))</f>
        <v/>
      </c>
    </row>
    <row r="113" ht="15" customHeight="1" s="22">
      <c r="J113" s="38">
        <f>IF(G113="","",IFERROR(INDEX(PackRates!$C:$C,MATCH(1,INDEX((PackRates!$A$1:$A$500=G113)*(PackRates!$B$1:$B$500=H113),0),0)),""))</f>
        <v/>
      </c>
      <c r="K113" s="38">
        <f>IF(OR(I113="",J113=""),"",IFERROR(I113*J113*INDEX(Products!$K:$K,MATCH(G113,Products!$A:$A,0)),""))</f>
        <v/>
      </c>
      <c r="L113" s="38">
        <f>IF(A113="","",IF(A113=A112,M112+1,1))</f>
        <v/>
      </c>
      <c r="M113" s="38">
        <f>IF(OR(L113="",I113=""),"",L113+I113-1)</f>
        <v/>
      </c>
      <c r="N113" s="38">
        <f>IF(A113="","",SUMIF($A$2:$A$500,A113,$I$2:$I$500))</f>
        <v/>
      </c>
    </row>
    <row r="114" ht="15" customHeight="1" s="22">
      <c r="J114" s="38">
        <f>IF(G114="","",IFERROR(INDEX(PackRates!$C:$C,MATCH(1,INDEX((PackRates!$A$1:$A$500=G114)*(PackRates!$B$1:$B$500=H114),0),0)),""))</f>
        <v/>
      </c>
      <c r="K114" s="38">
        <f>IF(OR(I114="",J114=""),"",IFERROR(I114*J114*INDEX(Products!$K:$K,MATCH(G114,Products!$A:$A,0)),""))</f>
        <v/>
      </c>
      <c r="L114" s="38">
        <f>IF(A114="","",IF(A114=A113,M113+1,1))</f>
        <v/>
      </c>
      <c r="M114" s="38">
        <f>IF(OR(L114="",I114=""),"",L114+I114-1)</f>
        <v/>
      </c>
      <c r="N114" s="38">
        <f>IF(A114="","",SUMIF($A$2:$A$500,A114,$I$2:$I$500))</f>
        <v/>
      </c>
    </row>
    <row r="115" ht="15" customHeight="1" s="22">
      <c r="J115" s="38">
        <f>IF(G115="","",IFERROR(INDEX(PackRates!$C:$C,MATCH(1,INDEX((PackRates!$A$1:$A$500=G115)*(PackRates!$B$1:$B$500=H115),0),0)),""))</f>
        <v/>
      </c>
      <c r="K115" s="38">
        <f>IF(OR(I115="",J115=""),"",IFERROR(I115*J115*INDEX(Products!$K:$K,MATCH(G115,Products!$A:$A,0)),""))</f>
        <v/>
      </c>
      <c r="L115" s="38">
        <f>IF(A115="","",IF(A115=A114,M114+1,1))</f>
        <v/>
      </c>
      <c r="M115" s="38">
        <f>IF(OR(L115="",I115=""),"",L115+I115-1)</f>
        <v/>
      </c>
      <c r="N115" s="38">
        <f>IF(A115="","",SUMIF($A$2:$A$500,A115,$I$2:$I$500))</f>
        <v/>
      </c>
    </row>
    <row r="116" ht="15" customHeight="1" s="22">
      <c r="J116" s="38">
        <f>IF(G116="","",IFERROR(INDEX(PackRates!$C:$C,MATCH(1,INDEX((PackRates!$A$1:$A$500=G116)*(PackRates!$B$1:$B$500=H116),0),0)),""))</f>
        <v/>
      </c>
      <c r="K116" s="38">
        <f>IF(OR(I116="",J116=""),"",IFERROR(I116*J116*INDEX(Products!$K:$K,MATCH(G116,Products!$A:$A,0)),""))</f>
        <v/>
      </c>
      <c r="L116" s="38">
        <f>IF(A116="","",IF(A116=A115,M115+1,1))</f>
        <v/>
      </c>
      <c r="M116" s="38">
        <f>IF(OR(L116="",I116=""),"",L116+I116-1)</f>
        <v/>
      </c>
      <c r="N116" s="38">
        <f>IF(A116="","",SUMIF($A$2:$A$500,A116,$I$2:$I$500))</f>
        <v/>
      </c>
    </row>
    <row r="117" ht="15" customHeight="1" s="22">
      <c r="J117" s="38">
        <f>IF(G117="","",IFERROR(INDEX(PackRates!$C:$C,MATCH(1,INDEX((PackRates!$A$1:$A$500=G117)*(PackRates!$B$1:$B$500=H117),0),0)),""))</f>
        <v/>
      </c>
      <c r="K117" s="38">
        <f>IF(OR(I117="",J117=""),"",IFERROR(I117*J117*INDEX(Products!$K:$K,MATCH(G117,Products!$A:$A,0)),""))</f>
        <v/>
      </c>
      <c r="L117" s="38">
        <f>IF(A117="","",IF(A117=A116,M116+1,1))</f>
        <v/>
      </c>
      <c r="M117" s="38">
        <f>IF(OR(L117="",I117=""),"",L117+I117-1)</f>
        <v/>
      </c>
      <c r="N117" s="38">
        <f>IF(A117="","",SUMIF($A$2:$A$500,A117,$I$2:$I$500))</f>
        <v/>
      </c>
    </row>
    <row r="118" ht="15" customHeight="1" s="22">
      <c r="J118" s="38">
        <f>IF(G118="","",IFERROR(INDEX(PackRates!$C:$C,MATCH(1,INDEX((PackRates!$A$1:$A$500=G118)*(PackRates!$B$1:$B$500=H118),0),0)),""))</f>
        <v/>
      </c>
      <c r="K118" s="38">
        <f>IF(OR(I118="",J118=""),"",IFERROR(I118*J118*INDEX(Products!$K:$K,MATCH(G118,Products!$A:$A,0)),""))</f>
        <v/>
      </c>
      <c r="L118" s="38">
        <f>IF(A118="","",IF(A118=A117,M117+1,1))</f>
        <v/>
      </c>
      <c r="M118" s="38">
        <f>IF(OR(L118="",I118=""),"",L118+I118-1)</f>
        <v/>
      </c>
      <c r="N118" s="38">
        <f>IF(A118="","",SUMIF($A$2:$A$500,A118,$I$2:$I$500))</f>
        <v/>
      </c>
    </row>
    <row r="119" ht="15" customHeight="1" s="22">
      <c r="J119" s="38">
        <f>IF(G119="","",IFERROR(INDEX(PackRates!$C:$C,MATCH(1,INDEX((PackRates!$A$1:$A$500=G119)*(PackRates!$B$1:$B$500=H119),0),0)),""))</f>
        <v/>
      </c>
      <c r="K119" s="38">
        <f>IF(OR(I119="",J119=""),"",IFERROR(I119*J119*INDEX(Products!$K:$K,MATCH(G119,Products!$A:$A,0)),""))</f>
        <v/>
      </c>
      <c r="L119" s="38">
        <f>IF(A119="","",IF(A119=A118,M118+1,1))</f>
        <v/>
      </c>
      <c r="M119" s="38">
        <f>IF(OR(L119="",I119=""),"",L119+I119-1)</f>
        <v/>
      </c>
      <c r="N119" s="38">
        <f>IF(A119="","",SUMIF($A$2:$A$500,A119,$I$2:$I$500))</f>
        <v/>
      </c>
    </row>
    <row r="120" ht="15" customHeight="1" s="22">
      <c r="J120" s="38">
        <f>IF(G120="","",IFERROR(INDEX(PackRates!$C:$C,MATCH(1,INDEX((PackRates!$A$1:$A$500=G120)*(PackRates!$B$1:$B$500=H120),0),0)),""))</f>
        <v/>
      </c>
      <c r="K120" s="38">
        <f>IF(OR(I120="",J120=""),"",IFERROR(I120*J120*INDEX(Products!$K:$K,MATCH(G120,Products!$A:$A,0)),""))</f>
        <v/>
      </c>
      <c r="L120" s="38">
        <f>IF(A120="","",IF(A120=A119,M119+1,1))</f>
        <v/>
      </c>
      <c r="M120" s="38">
        <f>IF(OR(L120="",I120=""),"",L120+I120-1)</f>
        <v/>
      </c>
      <c r="N120" s="38">
        <f>IF(A120="","",SUMIF($A$2:$A$500,A120,$I$2:$I$500))</f>
        <v/>
      </c>
    </row>
    <row r="121" ht="15" customHeight="1" s="22">
      <c r="J121" s="38">
        <f>IF(G121="","",IFERROR(INDEX(PackRates!$C:$C,MATCH(1,INDEX((PackRates!$A$1:$A$500=G121)*(PackRates!$B$1:$B$500=H121),0),0)),""))</f>
        <v/>
      </c>
      <c r="K121" s="38">
        <f>IF(OR(I121="",J121=""),"",IFERROR(I121*J121*INDEX(Products!$K:$K,MATCH(G121,Products!$A:$A,0)),""))</f>
        <v/>
      </c>
      <c r="L121" s="38">
        <f>IF(A121="","",IF(A121=A120,M120+1,1))</f>
        <v/>
      </c>
      <c r="M121" s="38">
        <f>IF(OR(L121="",I121=""),"",L121+I121-1)</f>
        <v/>
      </c>
      <c r="N121" s="38">
        <f>IF(A121="","",SUMIF($A$2:$A$500,A121,$I$2:$I$500))</f>
        <v/>
      </c>
    </row>
    <row r="122" ht="15" customHeight="1" s="22">
      <c r="J122" s="38">
        <f>IF(G122="","",IFERROR(INDEX(PackRates!$C:$C,MATCH(1,INDEX((PackRates!$A$1:$A$500=G122)*(PackRates!$B$1:$B$500=H122),0),0)),""))</f>
        <v/>
      </c>
      <c r="K122" s="38">
        <f>IF(OR(I122="",J122=""),"",IFERROR(I122*J122*INDEX(Products!$K:$K,MATCH(G122,Products!$A:$A,0)),""))</f>
        <v/>
      </c>
      <c r="L122" s="38">
        <f>IF(A122="","",IF(A122=A121,M121+1,1))</f>
        <v/>
      </c>
      <c r="M122" s="38">
        <f>IF(OR(L122="",I122=""),"",L122+I122-1)</f>
        <v/>
      </c>
      <c r="N122" s="38">
        <f>IF(A122="","",SUMIF($A$2:$A$500,A122,$I$2:$I$500))</f>
        <v/>
      </c>
    </row>
    <row r="123" ht="15" customHeight="1" s="22">
      <c r="J123" s="38">
        <f>IF(G123="","",IFERROR(INDEX(PackRates!$C:$C,MATCH(1,INDEX((PackRates!$A$1:$A$500=G123)*(PackRates!$B$1:$B$500=H123),0),0)),""))</f>
        <v/>
      </c>
      <c r="K123" s="38">
        <f>IF(OR(I123="",J123=""),"",IFERROR(I123*J123*INDEX(Products!$K:$K,MATCH(G123,Products!$A:$A,0)),""))</f>
        <v/>
      </c>
      <c r="L123" s="38">
        <f>IF(A123="","",IF(A123=A122,M122+1,1))</f>
        <v/>
      </c>
      <c r="M123" s="38">
        <f>IF(OR(L123="",I123=""),"",L123+I123-1)</f>
        <v/>
      </c>
      <c r="N123" s="38">
        <f>IF(A123="","",SUMIF($A$2:$A$500,A123,$I$2:$I$500))</f>
        <v/>
      </c>
    </row>
    <row r="124" ht="15" customHeight="1" s="22">
      <c r="J124" s="38">
        <f>IF(G124="","",IFERROR(INDEX(PackRates!$C:$C,MATCH(1,INDEX((PackRates!$A$1:$A$500=G124)*(PackRates!$B$1:$B$500=H124),0),0)),""))</f>
        <v/>
      </c>
      <c r="K124" s="38">
        <f>IF(OR(I124="",J124=""),"",IFERROR(I124*J124*INDEX(Products!$K:$K,MATCH(G124,Products!$A:$A,0)),""))</f>
        <v/>
      </c>
      <c r="L124" s="38">
        <f>IF(A124="","",IF(A124=A123,M123+1,1))</f>
        <v/>
      </c>
      <c r="M124" s="38">
        <f>IF(OR(L124="",I124=""),"",L124+I124-1)</f>
        <v/>
      </c>
      <c r="N124" s="38">
        <f>IF(A124="","",SUMIF($A$2:$A$500,A124,$I$2:$I$500))</f>
        <v/>
      </c>
    </row>
    <row r="125" ht="15" customHeight="1" s="22">
      <c r="J125" s="38">
        <f>IF(G125="","",IFERROR(INDEX(PackRates!$C:$C,MATCH(1,INDEX((PackRates!$A$1:$A$500=G125)*(PackRates!$B$1:$B$500=H125),0),0)),""))</f>
        <v/>
      </c>
      <c r="K125" s="38">
        <f>IF(OR(I125="",J125=""),"",IFERROR(I125*J125*INDEX(Products!$K:$K,MATCH(G125,Products!$A:$A,0)),""))</f>
        <v/>
      </c>
      <c r="L125" s="38">
        <f>IF(A125="","",IF(A125=A124,M124+1,1))</f>
        <v/>
      </c>
      <c r="M125" s="38">
        <f>IF(OR(L125="",I125=""),"",L125+I125-1)</f>
        <v/>
      </c>
      <c r="N125" s="38">
        <f>IF(A125="","",SUMIF($A$2:$A$500,A125,$I$2:$I$500))</f>
        <v/>
      </c>
    </row>
    <row r="126" ht="15" customHeight="1" s="22">
      <c r="J126" s="38">
        <f>IF(G126="","",IFERROR(INDEX(PackRates!$C:$C,MATCH(1,INDEX((PackRates!$A$1:$A$500=G126)*(PackRates!$B$1:$B$500=H126),0),0)),""))</f>
        <v/>
      </c>
      <c r="K126" s="38">
        <f>IF(OR(I126="",J126=""),"",IFERROR(I126*J126*INDEX(Products!$K:$K,MATCH(G126,Products!$A:$A,0)),""))</f>
        <v/>
      </c>
      <c r="L126" s="38">
        <f>IF(A126="","",IF(A126=A125,M125+1,1))</f>
        <v/>
      </c>
      <c r="M126" s="38">
        <f>IF(OR(L126="",I126=""),"",L126+I126-1)</f>
        <v/>
      </c>
      <c r="N126" s="38">
        <f>IF(A126="","",SUMIF($A$2:$A$500,A126,$I$2:$I$500))</f>
        <v/>
      </c>
    </row>
    <row r="127" ht="15" customHeight="1" s="22">
      <c r="J127" s="38">
        <f>IF(G127="","",IFERROR(INDEX(PackRates!$C:$C,MATCH(1,INDEX((PackRates!$A$1:$A$500=G127)*(PackRates!$B$1:$B$500=H127),0),0)),""))</f>
        <v/>
      </c>
      <c r="K127" s="38">
        <f>IF(OR(I127="",J127=""),"",IFERROR(I127*J127*INDEX(Products!$K:$K,MATCH(G127,Products!$A:$A,0)),""))</f>
        <v/>
      </c>
      <c r="L127" s="38">
        <f>IF(A127="","",IF(A127=A126,M126+1,1))</f>
        <v/>
      </c>
      <c r="M127" s="38">
        <f>IF(OR(L127="",I127=""),"",L127+I127-1)</f>
        <v/>
      </c>
      <c r="N127" s="38">
        <f>IF(A127="","",SUMIF($A$2:$A$500,A127,$I$2:$I$500))</f>
        <v/>
      </c>
    </row>
    <row r="128" ht="15" customHeight="1" s="22">
      <c r="J128" s="38">
        <f>IF(G128="","",IFERROR(INDEX(PackRates!$C:$C,MATCH(1,INDEX((PackRates!$A$1:$A$500=G128)*(PackRates!$B$1:$B$500=H128),0),0)),""))</f>
        <v/>
      </c>
      <c r="K128" s="38">
        <f>IF(OR(I128="",J128=""),"",IFERROR(I128*J128*INDEX(Products!$K:$K,MATCH(G128,Products!$A:$A,0)),""))</f>
        <v/>
      </c>
      <c r="L128" s="38">
        <f>IF(A128="","",IF(A128=A127,M127+1,1))</f>
        <v/>
      </c>
      <c r="M128" s="38">
        <f>IF(OR(L128="",I128=""),"",L128+I128-1)</f>
        <v/>
      </c>
      <c r="N128" s="38">
        <f>IF(A128="","",SUMIF($A$2:$A$500,A128,$I$2:$I$500))</f>
        <v/>
      </c>
    </row>
    <row r="129" ht="15" customHeight="1" s="22">
      <c r="J129" s="38">
        <f>IF(G129="","",IFERROR(INDEX(PackRates!$C:$C,MATCH(1,INDEX((PackRates!$A$1:$A$500=G129)*(PackRates!$B$1:$B$500=H129),0),0)),""))</f>
        <v/>
      </c>
      <c r="K129" s="38">
        <f>IF(OR(I129="",J129=""),"",IFERROR(I129*J129*INDEX(Products!$K:$K,MATCH(G129,Products!$A:$A,0)),""))</f>
        <v/>
      </c>
      <c r="L129" s="38">
        <f>IF(A129="","",IF(A129=A128,M128+1,1))</f>
        <v/>
      </c>
      <c r="M129" s="38">
        <f>IF(OR(L129="",I129=""),"",L129+I129-1)</f>
        <v/>
      </c>
      <c r="N129" s="38">
        <f>IF(A129="","",SUMIF($A$2:$A$500,A129,$I$2:$I$500))</f>
        <v/>
      </c>
    </row>
    <row r="130" ht="15" customHeight="1" s="22">
      <c r="J130" s="38">
        <f>IF(G130="","",IFERROR(INDEX(PackRates!$C:$C,MATCH(1,INDEX((PackRates!$A$1:$A$500=G130)*(PackRates!$B$1:$B$500=H130),0),0)),""))</f>
        <v/>
      </c>
      <c r="K130" s="38">
        <f>IF(OR(I130="",J130=""),"",IFERROR(I130*J130*INDEX(Products!$K:$K,MATCH(G130,Products!$A:$A,0)),""))</f>
        <v/>
      </c>
      <c r="L130" s="38">
        <f>IF(A130="","",IF(A130=A129,M129+1,1))</f>
        <v/>
      </c>
      <c r="M130" s="38">
        <f>IF(OR(L130="",I130=""),"",L130+I130-1)</f>
        <v/>
      </c>
      <c r="N130" s="38">
        <f>IF(A130="","",SUMIF($A$2:$A$500,A130,$I$2:$I$500))</f>
        <v/>
      </c>
    </row>
    <row r="131" ht="15" customHeight="1" s="22">
      <c r="J131" s="38">
        <f>IF(G131="","",IFERROR(INDEX(PackRates!$C:$C,MATCH(1,INDEX((PackRates!$A$1:$A$500=G131)*(PackRates!$B$1:$B$500=H131),0),0)),""))</f>
        <v/>
      </c>
      <c r="K131" s="38">
        <f>IF(OR(I131="",J131=""),"",IFERROR(I131*J131*INDEX(Products!$K:$K,MATCH(G131,Products!$A:$A,0)),""))</f>
        <v/>
      </c>
      <c r="L131" s="38">
        <f>IF(A131="","",IF(A131=A130,M130+1,1))</f>
        <v/>
      </c>
      <c r="M131" s="38">
        <f>IF(OR(L131="",I131=""),"",L131+I131-1)</f>
        <v/>
      </c>
      <c r="N131" s="38">
        <f>IF(A131="","",SUMIF($A$2:$A$500,A131,$I$2:$I$500))</f>
        <v/>
      </c>
    </row>
    <row r="132" ht="15" customHeight="1" s="22">
      <c r="J132" s="38">
        <f>IF(G132="","",IFERROR(INDEX(PackRates!$C:$C,MATCH(1,INDEX((PackRates!$A$1:$A$500=G132)*(PackRates!$B$1:$B$500=H132),0),0)),""))</f>
        <v/>
      </c>
      <c r="K132" s="38">
        <f>IF(OR(I132="",J132=""),"",IFERROR(I132*J132*INDEX(Products!$K:$K,MATCH(G132,Products!$A:$A,0)),""))</f>
        <v/>
      </c>
      <c r="L132" s="38">
        <f>IF(A132="","",IF(A132=A131,M131+1,1))</f>
        <v/>
      </c>
      <c r="M132" s="38">
        <f>IF(OR(L132="",I132=""),"",L132+I132-1)</f>
        <v/>
      </c>
      <c r="N132" s="38">
        <f>IF(A132="","",SUMIF($A$2:$A$500,A132,$I$2:$I$500))</f>
        <v/>
      </c>
    </row>
    <row r="133" ht="15" customHeight="1" s="22">
      <c r="J133" s="38">
        <f>IF(G133="","",IFERROR(INDEX(PackRates!$C:$C,MATCH(1,INDEX((PackRates!$A$1:$A$500=G133)*(PackRates!$B$1:$B$500=H133),0),0)),""))</f>
        <v/>
      </c>
      <c r="K133" s="38">
        <f>IF(OR(I133="",J133=""),"",IFERROR(I133*J133*INDEX(Products!$K:$K,MATCH(G133,Products!$A:$A,0)),""))</f>
        <v/>
      </c>
      <c r="L133" s="38">
        <f>IF(A133="","",IF(A133=A132,M132+1,1))</f>
        <v/>
      </c>
      <c r="M133" s="38">
        <f>IF(OR(L133="",I133=""),"",L133+I133-1)</f>
        <v/>
      </c>
      <c r="N133" s="38">
        <f>IF(A133="","",SUMIF($A$2:$A$500,A133,$I$2:$I$500))</f>
        <v/>
      </c>
    </row>
    <row r="134" ht="15" customHeight="1" s="22">
      <c r="J134" s="38">
        <f>IF(G134="","",IFERROR(INDEX(PackRates!$C:$C,MATCH(1,INDEX((PackRates!$A$1:$A$500=G134)*(PackRates!$B$1:$B$500=H134),0),0)),""))</f>
        <v/>
      </c>
      <c r="K134" s="38">
        <f>IF(OR(I134="",J134=""),"",IFERROR(I134*J134*INDEX(Products!$K:$K,MATCH(G134,Products!$A:$A,0)),""))</f>
        <v/>
      </c>
      <c r="L134" s="38">
        <f>IF(A134="","",IF(A134=A133,M133+1,1))</f>
        <v/>
      </c>
      <c r="M134" s="38">
        <f>IF(OR(L134="",I134=""),"",L134+I134-1)</f>
        <v/>
      </c>
      <c r="N134" s="38">
        <f>IF(A134="","",SUMIF($A$2:$A$500,A134,$I$2:$I$500))</f>
        <v/>
      </c>
    </row>
    <row r="135" ht="15" customHeight="1" s="22">
      <c r="J135" s="38">
        <f>IF(G135="","",IFERROR(INDEX(PackRates!$C:$C,MATCH(1,INDEX((PackRates!$A$1:$A$500=G135)*(PackRates!$B$1:$B$500=H135),0),0)),""))</f>
        <v/>
      </c>
      <c r="K135" s="38">
        <f>IF(OR(I135="",J135=""),"",IFERROR(I135*J135*INDEX(Products!$K:$K,MATCH(G135,Products!$A:$A,0)),""))</f>
        <v/>
      </c>
      <c r="L135" s="38">
        <f>IF(A135="","",IF(A135=A134,M134+1,1))</f>
        <v/>
      </c>
      <c r="M135" s="38">
        <f>IF(OR(L135="",I135=""),"",L135+I135-1)</f>
        <v/>
      </c>
      <c r="N135" s="38">
        <f>IF(A135="","",SUMIF($A$2:$A$500,A135,$I$2:$I$500))</f>
        <v/>
      </c>
    </row>
    <row r="136" ht="15" customHeight="1" s="22">
      <c r="J136" s="38">
        <f>IF(G136="","",IFERROR(INDEX(PackRates!$C:$C,MATCH(1,INDEX((PackRates!$A$1:$A$500=G136)*(PackRates!$B$1:$B$500=H136),0),0)),""))</f>
        <v/>
      </c>
      <c r="K136" s="38">
        <f>IF(OR(I136="",J136=""),"",IFERROR(I136*J136*INDEX(Products!$K:$K,MATCH(G136,Products!$A:$A,0)),""))</f>
        <v/>
      </c>
      <c r="L136" s="38">
        <f>IF(A136="","",IF(A136=A135,M135+1,1))</f>
        <v/>
      </c>
      <c r="M136" s="38">
        <f>IF(OR(L136="",I136=""),"",L136+I136-1)</f>
        <v/>
      </c>
      <c r="N136" s="38">
        <f>IF(A136="","",SUMIF($A$2:$A$500,A136,$I$2:$I$500))</f>
        <v/>
      </c>
    </row>
    <row r="137" ht="15" customHeight="1" s="22">
      <c r="J137" s="38">
        <f>IF(G137="","",IFERROR(INDEX(PackRates!$C:$C,MATCH(1,INDEX((PackRates!$A$1:$A$500=G137)*(PackRates!$B$1:$B$500=H137),0),0)),""))</f>
        <v/>
      </c>
      <c r="K137" s="38">
        <f>IF(OR(I137="",J137=""),"",IFERROR(I137*J137*INDEX(Products!$K:$K,MATCH(G137,Products!$A:$A,0)),""))</f>
        <v/>
      </c>
      <c r="L137" s="38">
        <f>IF(A137="","",IF(A137=A136,M136+1,1))</f>
        <v/>
      </c>
      <c r="M137" s="38">
        <f>IF(OR(L137="",I137=""),"",L137+I137-1)</f>
        <v/>
      </c>
      <c r="N137" s="38">
        <f>IF(A137="","",SUMIF($A$2:$A$500,A137,$I$2:$I$500))</f>
        <v/>
      </c>
    </row>
    <row r="138" ht="15" customHeight="1" s="22">
      <c r="J138" s="38">
        <f>IF(G138="","",IFERROR(INDEX(PackRates!$C:$C,MATCH(1,INDEX((PackRates!$A$1:$A$500=G138)*(PackRates!$B$1:$B$500=H138),0),0)),""))</f>
        <v/>
      </c>
      <c r="K138" s="38">
        <f>IF(OR(I138="",J138=""),"",IFERROR(I138*J138*INDEX(Products!$K:$K,MATCH(G138,Products!$A:$A,0)),""))</f>
        <v/>
      </c>
      <c r="L138" s="38">
        <f>IF(A138="","",IF(A138=A137,M137+1,1))</f>
        <v/>
      </c>
      <c r="M138" s="38">
        <f>IF(OR(L138="",I138=""),"",L138+I138-1)</f>
        <v/>
      </c>
      <c r="N138" s="38">
        <f>IF(A138="","",SUMIF($A$2:$A$500,A138,$I$2:$I$500))</f>
        <v/>
      </c>
    </row>
    <row r="139" ht="15" customHeight="1" s="22">
      <c r="J139" s="38">
        <f>IF(G139="","",IFERROR(INDEX(PackRates!$C:$C,MATCH(1,INDEX((PackRates!$A$1:$A$500=G139)*(PackRates!$B$1:$B$500=H139),0),0)),""))</f>
        <v/>
      </c>
      <c r="K139" s="38">
        <f>IF(OR(I139="",J139=""),"",IFERROR(I139*J139*INDEX(Products!$K:$K,MATCH(G139,Products!$A:$A,0)),""))</f>
        <v/>
      </c>
      <c r="L139" s="38">
        <f>IF(A139="","",IF(A139=A138,M138+1,1))</f>
        <v/>
      </c>
      <c r="M139" s="38">
        <f>IF(OR(L139="",I139=""),"",L139+I139-1)</f>
        <v/>
      </c>
      <c r="N139" s="38">
        <f>IF(A139="","",SUMIF($A$2:$A$500,A139,$I$2:$I$500))</f>
        <v/>
      </c>
    </row>
    <row r="140" ht="15" customHeight="1" s="22">
      <c r="J140" s="38">
        <f>IF(G140="","",IFERROR(INDEX(PackRates!$C:$C,MATCH(1,INDEX((PackRates!$A$1:$A$500=G140)*(PackRates!$B$1:$B$500=H140),0),0)),""))</f>
        <v/>
      </c>
      <c r="K140" s="38">
        <f>IF(OR(I140="",J140=""),"",IFERROR(I140*J140*INDEX(Products!$K:$K,MATCH(G140,Products!$A:$A,0)),""))</f>
        <v/>
      </c>
      <c r="L140" s="38">
        <f>IF(A140="","",IF(A140=A139,M139+1,1))</f>
        <v/>
      </c>
      <c r="M140" s="38">
        <f>IF(OR(L140="",I140=""),"",L140+I140-1)</f>
        <v/>
      </c>
      <c r="N140" s="38">
        <f>IF(A140="","",SUMIF($A$2:$A$500,A140,$I$2:$I$500))</f>
        <v/>
      </c>
    </row>
    <row r="141" ht="15" customHeight="1" s="22">
      <c r="J141" s="38">
        <f>IF(G141="","",IFERROR(INDEX(PackRates!$C:$C,MATCH(1,INDEX((PackRates!$A$1:$A$500=G141)*(PackRates!$B$1:$B$500=H141),0),0)),""))</f>
        <v/>
      </c>
      <c r="K141" s="38">
        <f>IF(OR(I141="",J141=""),"",IFERROR(I141*J141*INDEX(Products!$K:$K,MATCH(G141,Products!$A:$A,0)),""))</f>
        <v/>
      </c>
      <c r="L141" s="38">
        <f>IF(A141="","",IF(A141=A140,M140+1,1))</f>
        <v/>
      </c>
      <c r="M141" s="38">
        <f>IF(OR(L141="",I141=""),"",L141+I141-1)</f>
        <v/>
      </c>
      <c r="N141" s="38">
        <f>IF(A141="","",SUMIF($A$2:$A$500,A141,$I$2:$I$500))</f>
        <v/>
      </c>
    </row>
    <row r="142" ht="15" customHeight="1" s="22">
      <c r="J142" s="38">
        <f>IF(G142="","",IFERROR(INDEX(PackRates!$C:$C,MATCH(1,INDEX((PackRates!$A$1:$A$500=G142)*(PackRates!$B$1:$B$500=H142),0),0)),""))</f>
        <v/>
      </c>
      <c r="K142" s="38">
        <f>IF(OR(I142="",J142=""),"",IFERROR(I142*J142*INDEX(Products!$K:$K,MATCH(G142,Products!$A:$A,0)),""))</f>
        <v/>
      </c>
      <c r="L142" s="38">
        <f>IF(A142="","",IF(A142=A141,M141+1,1))</f>
        <v/>
      </c>
      <c r="M142" s="38">
        <f>IF(OR(L142="",I142=""),"",L142+I142-1)</f>
        <v/>
      </c>
      <c r="N142" s="38">
        <f>IF(A142="","",SUMIF($A$2:$A$500,A142,$I$2:$I$500))</f>
        <v/>
      </c>
    </row>
    <row r="143" ht="15" customHeight="1" s="22">
      <c r="J143" s="38">
        <f>IF(G143="","",IFERROR(INDEX(PackRates!$C:$C,MATCH(1,INDEX((PackRates!$A$1:$A$500=G143)*(PackRates!$B$1:$B$500=H143),0),0)),""))</f>
        <v/>
      </c>
      <c r="K143" s="38">
        <f>IF(OR(I143="",J143=""),"",IFERROR(I143*J143*INDEX(Products!$K:$K,MATCH(G143,Products!$A:$A,0)),""))</f>
        <v/>
      </c>
      <c r="L143" s="38">
        <f>IF(A143="","",IF(A143=A142,M142+1,1))</f>
        <v/>
      </c>
      <c r="M143" s="38">
        <f>IF(OR(L143="",I143=""),"",L143+I143-1)</f>
        <v/>
      </c>
      <c r="N143" s="38">
        <f>IF(A143="","",SUMIF($A$2:$A$500,A143,$I$2:$I$500))</f>
        <v/>
      </c>
    </row>
    <row r="144" ht="15" customHeight="1" s="22">
      <c r="J144" s="38">
        <f>IF(G144="","",IFERROR(INDEX(PackRates!$C:$C,MATCH(1,INDEX((PackRates!$A$1:$A$500=G144)*(PackRates!$B$1:$B$500=H144),0),0)),""))</f>
        <v/>
      </c>
      <c r="K144" s="38">
        <f>IF(OR(I144="",J144=""),"",IFERROR(I144*J144*INDEX(Products!$K:$K,MATCH(G144,Products!$A:$A,0)),""))</f>
        <v/>
      </c>
      <c r="L144" s="38">
        <f>IF(A144="","",IF(A144=A143,M143+1,1))</f>
        <v/>
      </c>
      <c r="M144" s="38">
        <f>IF(OR(L144="",I144=""),"",L144+I144-1)</f>
        <v/>
      </c>
      <c r="N144" s="38">
        <f>IF(A144="","",SUMIF($A$2:$A$500,A144,$I$2:$I$500))</f>
        <v/>
      </c>
    </row>
    <row r="145" ht="15" customHeight="1" s="22">
      <c r="J145" s="38">
        <f>IF(G145="","",IFERROR(INDEX(PackRates!$C:$C,MATCH(1,INDEX((PackRates!$A$1:$A$500=G145)*(PackRates!$B$1:$B$500=H145),0),0)),""))</f>
        <v/>
      </c>
      <c r="K145" s="38">
        <f>IF(OR(I145="",J145=""),"",IFERROR(I145*J145*INDEX(Products!$K:$K,MATCH(G145,Products!$A:$A,0)),""))</f>
        <v/>
      </c>
      <c r="L145" s="38">
        <f>IF(A145="","",IF(A145=A144,M144+1,1))</f>
        <v/>
      </c>
      <c r="M145" s="38">
        <f>IF(OR(L145="",I145=""),"",L145+I145-1)</f>
        <v/>
      </c>
      <c r="N145" s="38">
        <f>IF(A145="","",SUMIF($A$2:$A$500,A145,$I$2:$I$500))</f>
        <v/>
      </c>
    </row>
    <row r="146" ht="15" customHeight="1" s="22">
      <c r="J146" s="38">
        <f>IF(G146="","",IFERROR(INDEX(PackRates!$C:$C,MATCH(1,INDEX((PackRates!$A$1:$A$500=G146)*(PackRates!$B$1:$B$500=H146),0),0)),""))</f>
        <v/>
      </c>
      <c r="K146" s="38">
        <f>IF(OR(I146="",J146=""),"",IFERROR(I146*J146*INDEX(Products!$K:$K,MATCH(G146,Products!$A:$A,0)),""))</f>
        <v/>
      </c>
      <c r="L146" s="38">
        <f>IF(A146="","",IF(A146=A145,M145+1,1))</f>
        <v/>
      </c>
      <c r="M146" s="38">
        <f>IF(OR(L146="",I146=""),"",L146+I146-1)</f>
        <v/>
      </c>
      <c r="N146" s="38">
        <f>IF(A146="","",SUMIF($A$2:$A$500,A146,$I$2:$I$500))</f>
        <v/>
      </c>
    </row>
    <row r="147" ht="15" customHeight="1" s="22">
      <c r="J147" s="38">
        <f>IF(G147="","",IFERROR(INDEX(PackRates!$C:$C,MATCH(1,INDEX((PackRates!$A$1:$A$500=G147)*(PackRates!$B$1:$B$500=H147),0),0)),""))</f>
        <v/>
      </c>
      <c r="K147" s="38">
        <f>IF(OR(I147="",J147=""),"",IFERROR(I147*J147*INDEX(Products!$K:$K,MATCH(G147,Products!$A:$A,0)),""))</f>
        <v/>
      </c>
      <c r="L147" s="38">
        <f>IF(A147="","",IF(A147=A146,M146+1,1))</f>
        <v/>
      </c>
      <c r="M147" s="38">
        <f>IF(OR(L147="",I147=""),"",L147+I147-1)</f>
        <v/>
      </c>
      <c r="N147" s="38">
        <f>IF(A147="","",SUMIF($A$2:$A$500,A147,$I$2:$I$500))</f>
        <v/>
      </c>
    </row>
    <row r="148" ht="15" customHeight="1" s="22">
      <c r="J148" s="38">
        <f>IF(G148="","",IFERROR(INDEX(PackRates!$C:$C,MATCH(1,INDEX((PackRates!$A$1:$A$500=G148)*(PackRates!$B$1:$B$500=H148),0),0)),""))</f>
        <v/>
      </c>
      <c r="K148" s="38">
        <f>IF(OR(I148="",J148=""),"",IFERROR(I148*J148*INDEX(Products!$K:$K,MATCH(G148,Products!$A:$A,0)),""))</f>
        <v/>
      </c>
      <c r="L148" s="38">
        <f>IF(A148="","",IF(A148=A147,M147+1,1))</f>
        <v/>
      </c>
      <c r="M148" s="38">
        <f>IF(OR(L148="",I148=""),"",L148+I148-1)</f>
        <v/>
      </c>
      <c r="N148" s="38">
        <f>IF(A148="","",SUMIF($A$2:$A$500,A148,$I$2:$I$500))</f>
        <v/>
      </c>
    </row>
    <row r="149" ht="15" customHeight="1" s="22">
      <c r="J149" s="38">
        <f>IF(G149="","",IFERROR(INDEX(PackRates!$C:$C,MATCH(1,INDEX((PackRates!$A$1:$A$500=G149)*(PackRates!$B$1:$B$500=H149),0),0)),""))</f>
        <v/>
      </c>
      <c r="K149" s="38">
        <f>IF(OR(I149="",J149=""),"",IFERROR(I149*J149*INDEX(Products!$K:$K,MATCH(G149,Products!$A:$A,0)),""))</f>
        <v/>
      </c>
      <c r="L149" s="38">
        <f>IF(A149="","",IF(A149=A148,M148+1,1))</f>
        <v/>
      </c>
      <c r="M149" s="38">
        <f>IF(OR(L149="",I149=""),"",L149+I149-1)</f>
        <v/>
      </c>
      <c r="N149" s="38">
        <f>IF(A149="","",SUMIF($A$2:$A$500,A149,$I$2:$I$500))</f>
        <v/>
      </c>
    </row>
    <row r="150" ht="15" customHeight="1" s="22">
      <c r="J150" s="38">
        <f>IF(G150="","",IFERROR(INDEX(PackRates!$C:$C,MATCH(1,INDEX((PackRates!$A$1:$A$500=G150)*(PackRates!$B$1:$B$500=H150),0),0)),""))</f>
        <v/>
      </c>
      <c r="K150" s="38">
        <f>IF(OR(I150="",J150=""),"",IFERROR(I150*J150*INDEX(Products!$K:$K,MATCH(G150,Products!$A:$A,0)),""))</f>
        <v/>
      </c>
      <c r="L150" s="38">
        <f>IF(A150="","",IF(A150=A149,M149+1,1))</f>
        <v/>
      </c>
      <c r="M150" s="38">
        <f>IF(OR(L150="",I150=""),"",L150+I150-1)</f>
        <v/>
      </c>
      <c r="N150" s="38">
        <f>IF(A150="","",SUMIF($A$2:$A$500,A150,$I$2:$I$500))</f>
        <v/>
      </c>
    </row>
    <row r="151" ht="15" customHeight="1" s="22">
      <c r="J151" s="38">
        <f>IF(G151="","",IFERROR(INDEX(PackRates!$C:$C,MATCH(1,INDEX((PackRates!$A$1:$A$500=G151)*(PackRates!$B$1:$B$500=H151),0),0)),""))</f>
        <v/>
      </c>
      <c r="K151" s="38">
        <f>IF(OR(I151="",J151=""),"",IFERROR(I151*J151*INDEX(Products!$K:$K,MATCH(G151,Products!$A:$A,0)),""))</f>
        <v/>
      </c>
      <c r="L151" s="38">
        <f>IF(A151="","",IF(A151=A150,M150+1,1))</f>
        <v/>
      </c>
      <c r="M151" s="38">
        <f>IF(OR(L151="",I151=""),"",L151+I151-1)</f>
        <v/>
      </c>
      <c r="N151" s="38">
        <f>IF(A151="","",SUMIF($A$2:$A$500,A151,$I$2:$I$500))</f>
        <v/>
      </c>
    </row>
    <row r="152" ht="15" customHeight="1" s="22">
      <c r="J152" s="38">
        <f>IF(G152="","",IFERROR(INDEX(PackRates!$C:$C,MATCH(1,INDEX((PackRates!$A$1:$A$500=G152)*(PackRates!$B$1:$B$500=H152),0),0)),""))</f>
        <v/>
      </c>
      <c r="K152" s="38">
        <f>IF(OR(I152="",J152=""),"",IFERROR(I152*J152*INDEX(Products!$K:$K,MATCH(G152,Products!$A:$A,0)),""))</f>
        <v/>
      </c>
      <c r="L152" s="38">
        <f>IF(A152="","",IF(A152=A151,M151+1,1))</f>
        <v/>
      </c>
      <c r="M152" s="38">
        <f>IF(OR(L152="",I152=""),"",L152+I152-1)</f>
        <v/>
      </c>
      <c r="N152" s="38">
        <f>IF(A152="","",SUMIF($A$2:$A$500,A152,$I$2:$I$500))</f>
        <v/>
      </c>
    </row>
    <row r="153" ht="15" customHeight="1" s="22">
      <c r="J153" s="38">
        <f>IF(G153="","",IFERROR(INDEX(PackRates!$C:$C,MATCH(1,INDEX((PackRates!$A$1:$A$500=G153)*(PackRates!$B$1:$B$500=H153),0),0)),""))</f>
        <v/>
      </c>
      <c r="K153" s="38">
        <f>IF(OR(I153="",J153=""),"",IFERROR(I153*J153*INDEX(Products!$K:$K,MATCH(G153,Products!$A:$A,0)),""))</f>
        <v/>
      </c>
      <c r="L153" s="38">
        <f>IF(A153="","",IF(A153=A152,M152+1,1))</f>
        <v/>
      </c>
      <c r="M153" s="38">
        <f>IF(OR(L153="",I153=""),"",L153+I153-1)</f>
        <v/>
      </c>
      <c r="N153" s="38">
        <f>IF(A153="","",SUMIF($A$2:$A$500,A153,$I$2:$I$500))</f>
        <v/>
      </c>
    </row>
    <row r="154" ht="15" customHeight="1" s="22">
      <c r="J154" s="38">
        <f>IF(G154="","",IFERROR(INDEX(PackRates!$C:$C,MATCH(1,INDEX((PackRates!$A$1:$A$500=G154)*(PackRates!$B$1:$B$500=H154),0),0)),""))</f>
        <v/>
      </c>
      <c r="K154" s="38">
        <f>IF(OR(I154="",J154=""),"",IFERROR(I154*J154*INDEX(Products!$K:$K,MATCH(G154,Products!$A:$A,0)),""))</f>
        <v/>
      </c>
      <c r="L154" s="38">
        <f>IF(A154="","",IF(A154=A153,M153+1,1))</f>
        <v/>
      </c>
      <c r="M154" s="38">
        <f>IF(OR(L154="",I154=""),"",L154+I154-1)</f>
        <v/>
      </c>
      <c r="N154" s="38">
        <f>IF(A154="","",SUMIF($A$2:$A$500,A154,$I$2:$I$500))</f>
        <v/>
      </c>
    </row>
    <row r="155" ht="15" customHeight="1" s="22">
      <c r="J155" s="38">
        <f>IF(G155="","",IFERROR(INDEX(PackRates!$C:$C,MATCH(1,INDEX((PackRates!$A$1:$A$500=G155)*(PackRates!$B$1:$B$500=H155),0),0)),""))</f>
        <v/>
      </c>
      <c r="K155" s="38">
        <f>IF(OR(I155="",J155=""),"",IFERROR(I155*J155*INDEX(Products!$K:$K,MATCH(G155,Products!$A:$A,0)),""))</f>
        <v/>
      </c>
      <c r="L155" s="38">
        <f>IF(A155="","",IF(A155=A154,M154+1,1))</f>
        <v/>
      </c>
      <c r="M155" s="38">
        <f>IF(OR(L155="",I155=""),"",L155+I155-1)</f>
        <v/>
      </c>
      <c r="N155" s="38">
        <f>IF(A155="","",SUMIF($A$2:$A$500,A155,$I$2:$I$500))</f>
        <v/>
      </c>
    </row>
    <row r="156" ht="15" customHeight="1" s="22">
      <c r="J156" s="38">
        <f>IF(G156="","",IFERROR(INDEX(PackRates!$C:$C,MATCH(1,INDEX((PackRates!$A$1:$A$500=G156)*(PackRates!$B$1:$B$500=H156),0),0)),""))</f>
        <v/>
      </c>
      <c r="K156" s="38">
        <f>IF(OR(I156="",J156=""),"",IFERROR(I156*J156*INDEX(Products!$K:$K,MATCH(G156,Products!$A:$A,0)),""))</f>
        <v/>
      </c>
      <c r="L156" s="38">
        <f>IF(A156="","",IF(A156=A155,M155+1,1))</f>
        <v/>
      </c>
      <c r="M156" s="38">
        <f>IF(OR(L156="",I156=""),"",L156+I156-1)</f>
        <v/>
      </c>
      <c r="N156" s="38">
        <f>IF(A156="","",SUMIF($A$2:$A$500,A156,$I$2:$I$500))</f>
        <v/>
      </c>
    </row>
    <row r="157" ht="15" customHeight="1" s="22">
      <c r="J157" s="38">
        <f>IF(G157="","",IFERROR(INDEX(PackRates!$C:$C,MATCH(1,INDEX((PackRates!$A$1:$A$500=G157)*(PackRates!$B$1:$B$500=H157),0),0)),""))</f>
        <v/>
      </c>
      <c r="K157" s="38">
        <f>IF(OR(I157="",J157=""),"",IFERROR(I157*J157*INDEX(Products!$K:$K,MATCH(G157,Products!$A:$A,0)),""))</f>
        <v/>
      </c>
      <c r="L157" s="38">
        <f>IF(A157="","",IF(A157=A156,M156+1,1))</f>
        <v/>
      </c>
      <c r="M157" s="38">
        <f>IF(OR(L157="",I157=""),"",L157+I157-1)</f>
        <v/>
      </c>
      <c r="N157" s="38">
        <f>IF(A157="","",SUMIF($A$2:$A$500,A157,$I$2:$I$500))</f>
        <v/>
      </c>
    </row>
    <row r="158" ht="15" customHeight="1" s="22">
      <c r="J158" s="38">
        <f>IF(G158="","",IFERROR(INDEX(PackRates!$C:$C,MATCH(1,INDEX((PackRates!$A$1:$A$500=G158)*(PackRates!$B$1:$B$500=H158),0),0)),""))</f>
        <v/>
      </c>
      <c r="K158" s="38">
        <f>IF(OR(I158="",J158=""),"",IFERROR(I158*J158*INDEX(Products!$K:$K,MATCH(G158,Products!$A:$A,0)),""))</f>
        <v/>
      </c>
      <c r="L158" s="38">
        <f>IF(A158="","",IF(A158=A157,M157+1,1))</f>
        <v/>
      </c>
      <c r="M158" s="38">
        <f>IF(OR(L158="",I158=""),"",L158+I158-1)</f>
        <v/>
      </c>
      <c r="N158" s="38">
        <f>IF(A158="","",SUMIF($A$2:$A$500,A158,$I$2:$I$500))</f>
        <v/>
      </c>
    </row>
    <row r="159" ht="15" customHeight="1" s="22">
      <c r="J159" s="38">
        <f>IF(G159="","",IFERROR(INDEX(PackRates!$C:$C,MATCH(1,INDEX((PackRates!$A$1:$A$500=G159)*(PackRates!$B$1:$B$500=H159),0),0)),""))</f>
        <v/>
      </c>
      <c r="K159" s="38">
        <f>IF(OR(I159="",J159=""),"",IFERROR(I159*J159*INDEX(Products!$K:$K,MATCH(G159,Products!$A:$A,0)),""))</f>
        <v/>
      </c>
      <c r="L159" s="38">
        <f>IF(A159="","",IF(A159=A158,M158+1,1))</f>
        <v/>
      </c>
      <c r="M159" s="38">
        <f>IF(OR(L159="",I159=""),"",L159+I159-1)</f>
        <v/>
      </c>
      <c r="N159" s="38">
        <f>IF(A159="","",SUMIF($A$2:$A$500,A159,$I$2:$I$500))</f>
        <v/>
      </c>
    </row>
    <row r="160" ht="15" customHeight="1" s="22">
      <c r="J160" s="38">
        <f>IF(G160="","",IFERROR(INDEX(PackRates!$C:$C,MATCH(1,INDEX((PackRates!$A$1:$A$500=G160)*(PackRates!$B$1:$B$500=H160),0),0)),""))</f>
        <v/>
      </c>
      <c r="K160" s="38">
        <f>IF(OR(I160="",J160=""),"",IFERROR(I160*J160*INDEX(Products!$K:$K,MATCH(G160,Products!$A:$A,0)),""))</f>
        <v/>
      </c>
      <c r="L160" s="38">
        <f>IF(A160="","",IF(A160=A159,M159+1,1))</f>
        <v/>
      </c>
      <c r="M160" s="38">
        <f>IF(OR(L160="",I160=""),"",L160+I160-1)</f>
        <v/>
      </c>
      <c r="N160" s="38">
        <f>IF(A160="","",SUMIF($A$2:$A$500,A160,$I$2:$I$500))</f>
        <v/>
      </c>
    </row>
    <row r="161" ht="15" customHeight="1" s="22">
      <c r="J161" s="38">
        <f>IF(G161="","",IFERROR(INDEX(PackRates!$C:$C,MATCH(1,INDEX((PackRates!$A$1:$A$500=G161)*(PackRates!$B$1:$B$500=H161),0),0)),""))</f>
        <v/>
      </c>
      <c r="K161" s="38">
        <f>IF(OR(I161="",J161=""),"",IFERROR(I161*J161*INDEX(Products!$K:$K,MATCH(G161,Products!$A:$A,0)),""))</f>
        <v/>
      </c>
      <c r="L161" s="38">
        <f>IF(A161="","",IF(A161=A160,M160+1,1))</f>
        <v/>
      </c>
      <c r="M161" s="38">
        <f>IF(OR(L161="",I161=""),"",L161+I161-1)</f>
        <v/>
      </c>
      <c r="N161" s="38">
        <f>IF(A161="","",SUMIF($A$2:$A$500,A161,$I$2:$I$500))</f>
        <v/>
      </c>
    </row>
    <row r="162" ht="15" customHeight="1" s="22">
      <c r="J162" s="38">
        <f>IF(G162="","",IFERROR(INDEX(PackRates!$C:$C,MATCH(1,INDEX((PackRates!$A$1:$A$500=G162)*(PackRates!$B$1:$B$500=H162),0),0)),""))</f>
        <v/>
      </c>
      <c r="K162" s="38">
        <f>IF(OR(I162="",J162=""),"",IFERROR(I162*J162*INDEX(Products!$K:$K,MATCH(G162,Products!$A:$A,0)),""))</f>
        <v/>
      </c>
      <c r="L162" s="38">
        <f>IF(A162="","",IF(A162=A161,M161+1,1))</f>
        <v/>
      </c>
      <c r="M162" s="38">
        <f>IF(OR(L162="",I162=""),"",L162+I162-1)</f>
        <v/>
      </c>
      <c r="N162" s="38">
        <f>IF(A162="","",SUMIF($A$2:$A$500,A162,$I$2:$I$500))</f>
        <v/>
      </c>
    </row>
    <row r="163" ht="15" customHeight="1" s="22">
      <c r="J163" s="38">
        <f>IF(G163="","",IFERROR(INDEX(PackRates!$C:$C,MATCH(1,INDEX((PackRates!$A$1:$A$500=G163)*(PackRates!$B$1:$B$500=H163),0),0)),""))</f>
        <v/>
      </c>
      <c r="K163" s="38">
        <f>IF(OR(I163="",J163=""),"",IFERROR(I163*J163*INDEX(Products!$K:$K,MATCH(G163,Products!$A:$A,0)),""))</f>
        <v/>
      </c>
      <c r="L163" s="38">
        <f>IF(A163="","",IF(A163=A162,M162+1,1))</f>
        <v/>
      </c>
      <c r="M163" s="38">
        <f>IF(OR(L163="",I163=""),"",L163+I163-1)</f>
        <v/>
      </c>
      <c r="N163" s="38">
        <f>IF(A163="","",SUMIF($A$2:$A$500,A163,$I$2:$I$500))</f>
        <v/>
      </c>
    </row>
    <row r="164" ht="15" customHeight="1" s="22">
      <c r="J164" s="38">
        <f>IF(G164="","",IFERROR(INDEX(PackRates!$C:$C,MATCH(1,INDEX((PackRates!$A$1:$A$500=G164)*(PackRates!$B$1:$B$500=H164),0),0)),""))</f>
        <v/>
      </c>
      <c r="K164" s="38">
        <f>IF(OR(I164="",J164=""),"",IFERROR(I164*J164*INDEX(Products!$K:$K,MATCH(G164,Products!$A:$A,0)),""))</f>
        <v/>
      </c>
      <c r="L164" s="38">
        <f>IF(A164="","",IF(A164=A163,M163+1,1))</f>
        <v/>
      </c>
      <c r="M164" s="38">
        <f>IF(OR(L164="",I164=""),"",L164+I164-1)</f>
        <v/>
      </c>
      <c r="N164" s="38">
        <f>IF(A164="","",SUMIF($A$2:$A$500,A164,$I$2:$I$500))</f>
        <v/>
      </c>
    </row>
    <row r="165" ht="15" customHeight="1" s="22">
      <c r="J165" s="38">
        <f>IF(G165="","",IFERROR(INDEX(PackRates!$C:$C,MATCH(1,INDEX((PackRates!$A$1:$A$500=G165)*(PackRates!$B$1:$B$500=H165),0),0)),""))</f>
        <v/>
      </c>
      <c r="K165" s="38">
        <f>IF(OR(I165="",J165=""),"",IFERROR(I165*J165*INDEX(Products!$K:$K,MATCH(G165,Products!$A:$A,0)),""))</f>
        <v/>
      </c>
      <c r="L165" s="38">
        <f>IF(A165="","",IF(A165=A164,M164+1,1))</f>
        <v/>
      </c>
      <c r="M165" s="38">
        <f>IF(OR(L165="",I165=""),"",L165+I165-1)</f>
        <v/>
      </c>
      <c r="N165" s="38">
        <f>IF(A165="","",SUMIF($A$2:$A$500,A165,$I$2:$I$500))</f>
        <v/>
      </c>
    </row>
    <row r="166" ht="15" customHeight="1" s="22">
      <c r="J166" s="38">
        <f>IF(G166="","",IFERROR(INDEX(PackRates!$C:$C,MATCH(1,INDEX((PackRates!$A$1:$A$500=G166)*(PackRates!$B$1:$B$500=H166),0),0)),""))</f>
        <v/>
      </c>
      <c r="K166" s="38">
        <f>IF(OR(I166="",J166=""),"",IFERROR(I166*J166*INDEX(Products!$K:$K,MATCH(G166,Products!$A:$A,0)),""))</f>
        <v/>
      </c>
      <c r="L166" s="38">
        <f>IF(A166="","",IF(A166=A165,M165+1,1))</f>
        <v/>
      </c>
      <c r="M166" s="38">
        <f>IF(OR(L166="",I166=""),"",L166+I166-1)</f>
        <v/>
      </c>
      <c r="N166" s="38">
        <f>IF(A166="","",SUMIF($A$2:$A$500,A166,$I$2:$I$500))</f>
        <v/>
      </c>
    </row>
    <row r="167" ht="15" customHeight="1" s="22">
      <c r="J167" s="38">
        <f>IF(G167="","",IFERROR(INDEX(PackRates!$C:$C,MATCH(1,INDEX((PackRates!$A$1:$A$500=G167)*(PackRates!$B$1:$B$500=H167),0),0)),""))</f>
        <v/>
      </c>
      <c r="K167" s="38">
        <f>IF(OR(I167="",J167=""),"",IFERROR(I167*J167*INDEX(Products!$K:$K,MATCH(G167,Products!$A:$A,0)),""))</f>
        <v/>
      </c>
      <c r="L167" s="38">
        <f>IF(A167="","",IF(A167=A166,M166+1,1))</f>
        <v/>
      </c>
      <c r="M167" s="38">
        <f>IF(OR(L167="",I167=""),"",L167+I167-1)</f>
        <v/>
      </c>
      <c r="N167" s="38">
        <f>IF(A167="","",SUMIF($A$2:$A$500,A167,$I$2:$I$500))</f>
        <v/>
      </c>
    </row>
    <row r="168" ht="15" customHeight="1" s="22">
      <c r="J168" s="38">
        <f>IF(G168="","",IFERROR(INDEX(PackRates!$C:$C,MATCH(1,INDEX((PackRates!$A$1:$A$500=G168)*(PackRates!$B$1:$B$500=H168),0),0)),""))</f>
        <v/>
      </c>
      <c r="K168" s="38">
        <f>IF(OR(I168="",J168=""),"",IFERROR(I168*J168*INDEX(Products!$K:$K,MATCH(G168,Products!$A:$A,0)),""))</f>
        <v/>
      </c>
      <c r="L168" s="38">
        <f>IF(A168="","",IF(A168=A167,M167+1,1))</f>
        <v/>
      </c>
      <c r="M168" s="38">
        <f>IF(OR(L168="",I168=""),"",L168+I168-1)</f>
        <v/>
      </c>
      <c r="N168" s="38">
        <f>IF(A168="","",SUMIF($A$2:$A$500,A168,$I$2:$I$500))</f>
        <v/>
      </c>
    </row>
    <row r="169" ht="15" customHeight="1" s="22">
      <c r="J169" s="38">
        <f>IF(G169="","",IFERROR(INDEX(PackRates!$C:$C,MATCH(1,INDEX((PackRates!$A$1:$A$500=G169)*(PackRates!$B$1:$B$500=H169),0),0)),""))</f>
        <v/>
      </c>
      <c r="K169" s="38">
        <f>IF(OR(I169="",J169=""),"",IFERROR(I169*J169*INDEX(Products!$K:$K,MATCH(G169,Products!$A:$A,0)),""))</f>
        <v/>
      </c>
      <c r="L169" s="38">
        <f>IF(A169="","",IF(A169=A168,M168+1,1))</f>
        <v/>
      </c>
      <c r="M169" s="38">
        <f>IF(OR(L169="",I169=""),"",L169+I169-1)</f>
        <v/>
      </c>
      <c r="N169" s="38">
        <f>IF(A169="","",SUMIF($A$2:$A$500,A169,$I$2:$I$500))</f>
        <v/>
      </c>
    </row>
    <row r="170" ht="15" customHeight="1" s="22">
      <c r="J170" s="38">
        <f>IF(G170="","",IFERROR(INDEX(PackRates!$C:$C,MATCH(1,INDEX((PackRates!$A$1:$A$500=G170)*(PackRates!$B$1:$B$500=H170),0),0)),""))</f>
        <v/>
      </c>
      <c r="K170" s="38">
        <f>IF(OR(I170="",J170=""),"",IFERROR(I170*J170*INDEX(Products!$K:$K,MATCH(G170,Products!$A:$A,0)),""))</f>
        <v/>
      </c>
      <c r="L170" s="38">
        <f>IF(A170="","",IF(A170=A169,M169+1,1))</f>
        <v/>
      </c>
      <c r="M170" s="38">
        <f>IF(OR(L170="",I170=""),"",L170+I170-1)</f>
        <v/>
      </c>
      <c r="N170" s="38">
        <f>IF(A170="","",SUMIF($A$2:$A$500,A170,$I$2:$I$500))</f>
        <v/>
      </c>
    </row>
    <row r="171" ht="15" customHeight="1" s="22">
      <c r="J171" s="38">
        <f>IF(G171="","",IFERROR(INDEX(PackRates!$C:$C,MATCH(1,INDEX((PackRates!$A$1:$A$500=G171)*(PackRates!$B$1:$B$500=H171),0),0)),""))</f>
        <v/>
      </c>
      <c r="K171" s="38">
        <f>IF(OR(I171="",J171=""),"",IFERROR(I171*J171*INDEX(Products!$K:$K,MATCH(G171,Products!$A:$A,0)),""))</f>
        <v/>
      </c>
      <c r="L171" s="38">
        <f>IF(A171="","",IF(A171=A170,M170+1,1))</f>
        <v/>
      </c>
      <c r="M171" s="38">
        <f>IF(OR(L171="",I171=""),"",L171+I171-1)</f>
        <v/>
      </c>
      <c r="N171" s="38">
        <f>IF(A171="","",SUMIF($A$2:$A$500,A171,$I$2:$I$500))</f>
        <v/>
      </c>
    </row>
    <row r="172" ht="15" customHeight="1" s="22">
      <c r="J172" s="38">
        <f>IF(G172="","",IFERROR(INDEX(PackRates!$C:$C,MATCH(1,INDEX((PackRates!$A$1:$A$500=G172)*(PackRates!$B$1:$B$500=H172),0),0)),""))</f>
        <v/>
      </c>
      <c r="K172" s="38">
        <f>IF(OR(I172="",J172=""),"",IFERROR(I172*J172*INDEX(Products!$K:$K,MATCH(G172,Products!$A:$A,0)),""))</f>
        <v/>
      </c>
      <c r="L172" s="38">
        <f>IF(A172="","",IF(A172=A171,M171+1,1))</f>
        <v/>
      </c>
      <c r="M172" s="38">
        <f>IF(OR(L172="",I172=""),"",L172+I172-1)</f>
        <v/>
      </c>
      <c r="N172" s="38">
        <f>IF(A172="","",SUMIF($A$2:$A$500,A172,$I$2:$I$500))</f>
        <v/>
      </c>
    </row>
    <row r="173" ht="15" customHeight="1" s="22">
      <c r="J173" s="38">
        <f>IF(G173="","",IFERROR(INDEX(PackRates!$C:$C,MATCH(1,INDEX((PackRates!$A$1:$A$500=G173)*(PackRates!$B$1:$B$500=H173),0),0)),""))</f>
        <v/>
      </c>
      <c r="K173" s="38">
        <f>IF(OR(I173="",J173=""),"",IFERROR(I173*J173*INDEX(Products!$K:$K,MATCH(G173,Products!$A:$A,0)),""))</f>
        <v/>
      </c>
      <c r="L173" s="38">
        <f>IF(A173="","",IF(A173=A172,M172+1,1))</f>
        <v/>
      </c>
      <c r="M173" s="38">
        <f>IF(OR(L173="",I173=""),"",L173+I173-1)</f>
        <v/>
      </c>
      <c r="N173" s="38">
        <f>IF(A173="","",SUMIF($A$2:$A$500,A173,$I$2:$I$500))</f>
        <v/>
      </c>
    </row>
    <row r="174" ht="15" customHeight="1" s="22">
      <c r="J174" s="38">
        <f>IF(G174="","",IFERROR(INDEX(PackRates!$C:$C,MATCH(1,INDEX((PackRates!$A$1:$A$500=G174)*(PackRates!$B$1:$B$500=H174),0),0)),""))</f>
        <v/>
      </c>
      <c r="K174" s="38">
        <f>IF(OR(I174="",J174=""),"",IFERROR(I174*J174*INDEX(Products!$K:$K,MATCH(G174,Products!$A:$A,0)),""))</f>
        <v/>
      </c>
      <c r="L174" s="38">
        <f>IF(A174="","",IF(A174=A173,M173+1,1))</f>
        <v/>
      </c>
      <c r="M174" s="38">
        <f>IF(OR(L174="",I174=""),"",L174+I174-1)</f>
        <v/>
      </c>
      <c r="N174" s="38">
        <f>IF(A174="","",SUMIF($A$2:$A$500,A174,$I$2:$I$500))</f>
        <v/>
      </c>
    </row>
    <row r="175" ht="15" customHeight="1" s="22">
      <c r="J175" s="38">
        <f>IF(G175="","",IFERROR(INDEX(PackRates!$C:$C,MATCH(1,INDEX((PackRates!$A$1:$A$500=G175)*(PackRates!$B$1:$B$500=H175),0),0)),""))</f>
        <v/>
      </c>
      <c r="K175" s="38">
        <f>IF(OR(I175="",J175=""),"",IFERROR(I175*J175*INDEX(Products!$K:$K,MATCH(G175,Products!$A:$A,0)),""))</f>
        <v/>
      </c>
      <c r="L175" s="38">
        <f>IF(A175="","",IF(A175=A174,M174+1,1))</f>
        <v/>
      </c>
      <c r="M175" s="38">
        <f>IF(OR(L175="",I175=""),"",L175+I175-1)</f>
        <v/>
      </c>
      <c r="N175" s="38">
        <f>IF(A175="","",SUMIF($A$2:$A$500,A175,$I$2:$I$500))</f>
        <v/>
      </c>
    </row>
    <row r="176" ht="15" customHeight="1" s="22">
      <c r="J176" s="38">
        <f>IF(G176="","",IFERROR(INDEX(PackRates!$C:$C,MATCH(1,INDEX((PackRates!$A$1:$A$500=G176)*(PackRates!$B$1:$B$500=H176),0),0)),""))</f>
        <v/>
      </c>
      <c r="K176" s="38">
        <f>IF(OR(I176="",J176=""),"",IFERROR(I176*J176*INDEX(Products!$K:$K,MATCH(G176,Products!$A:$A,0)),""))</f>
        <v/>
      </c>
      <c r="L176" s="38">
        <f>IF(A176="","",IF(A176=A175,M175+1,1))</f>
        <v/>
      </c>
      <c r="M176" s="38">
        <f>IF(OR(L176="",I176=""),"",L176+I176-1)</f>
        <v/>
      </c>
      <c r="N176" s="38">
        <f>IF(A176="","",SUMIF($A$2:$A$500,A176,$I$2:$I$500))</f>
        <v/>
      </c>
    </row>
    <row r="177" ht="15" customHeight="1" s="22">
      <c r="J177" s="38">
        <f>IF(G177="","",IFERROR(INDEX(PackRates!$C:$C,MATCH(1,INDEX((PackRates!$A$1:$A$500=G177)*(PackRates!$B$1:$B$500=H177),0),0)),""))</f>
        <v/>
      </c>
      <c r="K177" s="38">
        <f>IF(OR(I177="",J177=""),"",IFERROR(I177*J177*INDEX(Products!$K:$K,MATCH(G177,Products!$A:$A,0)),""))</f>
        <v/>
      </c>
      <c r="L177" s="38">
        <f>IF(A177="","",IF(A177=A176,M176+1,1))</f>
        <v/>
      </c>
      <c r="M177" s="38">
        <f>IF(OR(L177="",I177=""),"",L177+I177-1)</f>
        <v/>
      </c>
      <c r="N177" s="38">
        <f>IF(A177="","",SUMIF($A$2:$A$500,A177,$I$2:$I$500))</f>
        <v/>
      </c>
    </row>
    <row r="178" ht="15" customHeight="1" s="22">
      <c r="J178" s="38">
        <f>IF(G178="","",IFERROR(INDEX(PackRates!$C:$C,MATCH(1,INDEX((PackRates!$A$1:$A$500=G178)*(PackRates!$B$1:$B$500=H178),0),0)),""))</f>
        <v/>
      </c>
      <c r="K178" s="38">
        <f>IF(OR(I178="",J178=""),"",IFERROR(I178*J178*INDEX(Products!$K:$K,MATCH(G178,Products!$A:$A,0)),""))</f>
        <v/>
      </c>
      <c r="L178" s="38">
        <f>IF(A178="","",IF(A178=A177,M177+1,1))</f>
        <v/>
      </c>
      <c r="M178" s="38">
        <f>IF(OR(L178="",I178=""),"",L178+I178-1)</f>
        <v/>
      </c>
      <c r="N178" s="38">
        <f>IF(A178="","",SUMIF($A$2:$A$500,A178,$I$2:$I$500))</f>
        <v/>
      </c>
    </row>
    <row r="179" ht="15" customHeight="1" s="22">
      <c r="J179" s="38">
        <f>IF(G179="","",IFERROR(INDEX(PackRates!$C:$C,MATCH(1,INDEX((PackRates!$A$1:$A$500=G179)*(PackRates!$B$1:$B$500=H179),0),0)),""))</f>
        <v/>
      </c>
      <c r="K179" s="38">
        <f>IF(OR(I179="",J179=""),"",IFERROR(I179*J179*INDEX(Products!$K:$K,MATCH(G179,Products!$A:$A,0)),""))</f>
        <v/>
      </c>
      <c r="L179" s="38">
        <f>IF(A179="","",IF(A179=A178,M178+1,1))</f>
        <v/>
      </c>
      <c r="M179" s="38">
        <f>IF(OR(L179="",I179=""),"",L179+I179-1)</f>
        <v/>
      </c>
      <c r="N179" s="38">
        <f>IF(A179="","",SUMIF($A$2:$A$500,A179,$I$2:$I$500))</f>
        <v/>
      </c>
    </row>
    <row r="180" ht="15" customHeight="1" s="22">
      <c r="J180" s="38">
        <f>IF(G180="","",IFERROR(INDEX(PackRates!$C:$C,MATCH(1,INDEX((PackRates!$A$1:$A$500=G180)*(PackRates!$B$1:$B$500=H180),0),0)),""))</f>
        <v/>
      </c>
      <c r="K180" s="38">
        <f>IF(OR(I180="",J180=""),"",IFERROR(I180*J180*INDEX(Products!$K:$K,MATCH(G180,Products!$A:$A,0)),""))</f>
        <v/>
      </c>
      <c r="L180" s="38">
        <f>IF(A180="","",IF(A180=A179,M179+1,1))</f>
        <v/>
      </c>
      <c r="M180" s="38">
        <f>IF(OR(L180="",I180=""),"",L180+I180-1)</f>
        <v/>
      </c>
      <c r="N180" s="38">
        <f>IF(A180="","",SUMIF($A$2:$A$500,A180,$I$2:$I$500))</f>
        <v/>
      </c>
    </row>
    <row r="181" ht="15" customHeight="1" s="22">
      <c r="J181" s="38">
        <f>IF(G181="","",IFERROR(INDEX(PackRates!$C:$C,MATCH(1,INDEX((PackRates!$A$1:$A$500=G181)*(PackRates!$B$1:$B$500=H181),0),0)),""))</f>
        <v/>
      </c>
      <c r="K181" s="38">
        <f>IF(OR(I181="",J181=""),"",IFERROR(I181*J181*INDEX(Products!$K:$K,MATCH(G181,Products!$A:$A,0)),""))</f>
        <v/>
      </c>
      <c r="L181" s="38">
        <f>IF(A181="","",IF(A181=A180,M180+1,1))</f>
        <v/>
      </c>
      <c r="M181" s="38">
        <f>IF(OR(L181="",I181=""),"",L181+I181-1)</f>
        <v/>
      </c>
      <c r="N181" s="38">
        <f>IF(A181="","",SUMIF($A$2:$A$500,A181,$I$2:$I$500))</f>
        <v/>
      </c>
    </row>
    <row r="182" ht="15" customHeight="1" s="22">
      <c r="J182" s="38">
        <f>IF(G182="","",IFERROR(INDEX(PackRates!$C:$C,MATCH(1,INDEX((PackRates!$A$1:$A$500=G182)*(PackRates!$B$1:$B$500=H182),0),0)),""))</f>
        <v/>
      </c>
      <c r="K182" s="38">
        <f>IF(OR(I182="",J182=""),"",IFERROR(I182*J182*INDEX(Products!$K:$K,MATCH(G182,Products!$A:$A,0)),""))</f>
        <v/>
      </c>
      <c r="L182" s="38">
        <f>IF(A182="","",IF(A182=A181,M181+1,1))</f>
        <v/>
      </c>
      <c r="M182" s="38">
        <f>IF(OR(L182="",I182=""),"",L182+I182-1)</f>
        <v/>
      </c>
      <c r="N182" s="38">
        <f>IF(A182="","",SUMIF($A$2:$A$500,A182,$I$2:$I$500))</f>
        <v/>
      </c>
    </row>
    <row r="183" ht="15" customHeight="1" s="22">
      <c r="J183" s="38">
        <f>IF(G183="","",IFERROR(INDEX(PackRates!$C:$C,MATCH(1,INDEX((PackRates!$A$1:$A$500=G183)*(PackRates!$B$1:$B$500=H183),0),0)),""))</f>
        <v/>
      </c>
      <c r="K183" s="38">
        <f>IF(OR(I183="",J183=""),"",IFERROR(I183*J183*INDEX(Products!$K:$K,MATCH(G183,Products!$A:$A,0)),""))</f>
        <v/>
      </c>
      <c r="L183" s="38">
        <f>IF(A183="","",IF(A183=A182,M182+1,1))</f>
        <v/>
      </c>
      <c r="M183" s="38">
        <f>IF(OR(L183="",I183=""),"",L183+I183-1)</f>
        <v/>
      </c>
      <c r="N183" s="38">
        <f>IF(A183="","",SUMIF($A$2:$A$500,A183,$I$2:$I$500))</f>
        <v/>
      </c>
    </row>
    <row r="184" ht="15" customHeight="1" s="22">
      <c r="J184" s="38">
        <f>IF(G184="","",IFERROR(INDEX(PackRates!$C:$C,MATCH(1,INDEX((PackRates!$A$1:$A$500=G184)*(PackRates!$B$1:$B$500=H184),0),0)),""))</f>
        <v/>
      </c>
      <c r="K184" s="38">
        <f>IF(OR(I184="",J184=""),"",IFERROR(I184*J184*INDEX(Products!$K:$K,MATCH(G184,Products!$A:$A,0)),""))</f>
        <v/>
      </c>
      <c r="L184" s="38">
        <f>IF(A184="","",IF(A184=A183,M183+1,1))</f>
        <v/>
      </c>
      <c r="M184" s="38">
        <f>IF(OR(L184="",I184=""),"",L184+I184-1)</f>
        <v/>
      </c>
      <c r="N184" s="38">
        <f>IF(A184="","",SUMIF($A$2:$A$500,A184,$I$2:$I$500))</f>
        <v/>
      </c>
    </row>
    <row r="185" ht="15" customHeight="1" s="22">
      <c r="J185" s="38">
        <f>IF(G185="","",IFERROR(INDEX(PackRates!$C:$C,MATCH(1,INDEX((PackRates!$A$1:$A$500=G185)*(PackRates!$B$1:$B$500=H185),0),0)),""))</f>
        <v/>
      </c>
      <c r="K185" s="38">
        <f>IF(OR(I185="",J185=""),"",IFERROR(I185*J185*INDEX(Products!$K:$K,MATCH(G185,Products!$A:$A,0)),""))</f>
        <v/>
      </c>
      <c r="L185" s="38">
        <f>IF(A185="","",IF(A185=A184,M184+1,1))</f>
        <v/>
      </c>
      <c r="M185" s="38">
        <f>IF(OR(L185="",I185=""),"",L185+I185-1)</f>
        <v/>
      </c>
      <c r="N185" s="38">
        <f>IF(A185="","",SUMIF($A$2:$A$500,A185,$I$2:$I$500))</f>
        <v/>
      </c>
    </row>
    <row r="186" ht="15" customHeight="1" s="22">
      <c r="J186" s="38">
        <f>IF(G186="","",IFERROR(INDEX(PackRates!$C:$C,MATCH(1,INDEX((PackRates!$A$1:$A$500=G186)*(PackRates!$B$1:$B$500=H186),0),0)),""))</f>
        <v/>
      </c>
      <c r="K186" s="38">
        <f>IF(OR(I186="",J186=""),"",IFERROR(I186*J186*INDEX(Products!$K:$K,MATCH(G186,Products!$A:$A,0)),""))</f>
        <v/>
      </c>
      <c r="L186" s="38">
        <f>IF(A186="","",IF(A186=A185,M185+1,1))</f>
        <v/>
      </c>
      <c r="M186" s="38">
        <f>IF(OR(L186="",I186=""),"",L186+I186-1)</f>
        <v/>
      </c>
      <c r="N186" s="38">
        <f>IF(A186="","",SUMIF($A$2:$A$500,A186,$I$2:$I$500))</f>
        <v/>
      </c>
    </row>
    <row r="187" ht="15" customHeight="1" s="22">
      <c r="J187" s="38">
        <f>IF(G187="","",IFERROR(INDEX(PackRates!$C:$C,MATCH(1,INDEX((PackRates!$A$1:$A$500=G187)*(PackRates!$B$1:$B$500=H187),0),0)),""))</f>
        <v/>
      </c>
      <c r="K187" s="38">
        <f>IF(OR(I187="",J187=""),"",IFERROR(I187*J187*INDEX(Products!$K:$K,MATCH(G187,Products!$A:$A,0)),""))</f>
        <v/>
      </c>
      <c r="L187" s="38">
        <f>IF(A187="","",IF(A187=A186,M186+1,1))</f>
        <v/>
      </c>
      <c r="M187" s="38">
        <f>IF(OR(L187="",I187=""),"",L187+I187-1)</f>
        <v/>
      </c>
      <c r="N187" s="38">
        <f>IF(A187="","",SUMIF($A$2:$A$500,A187,$I$2:$I$500))</f>
        <v/>
      </c>
    </row>
    <row r="188" ht="15" customHeight="1" s="22">
      <c r="J188" s="38">
        <f>IF(G188="","",IFERROR(INDEX(PackRates!$C:$C,MATCH(1,INDEX((PackRates!$A$1:$A$500=G188)*(PackRates!$B$1:$B$500=H188),0),0)),""))</f>
        <v/>
      </c>
      <c r="K188" s="38">
        <f>IF(OR(I188="",J188=""),"",IFERROR(I188*J188*INDEX(Products!$K:$K,MATCH(G188,Products!$A:$A,0)),""))</f>
        <v/>
      </c>
      <c r="L188" s="38">
        <f>IF(A188="","",IF(A188=A187,M187+1,1))</f>
        <v/>
      </c>
      <c r="M188" s="38">
        <f>IF(OR(L188="",I188=""),"",L188+I188-1)</f>
        <v/>
      </c>
      <c r="N188" s="38">
        <f>IF(A188="","",SUMIF($A$2:$A$500,A188,$I$2:$I$500))</f>
        <v/>
      </c>
    </row>
    <row r="189" ht="15" customHeight="1" s="22">
      <c r="J189" s="38">
        <f>IF(G189="","",IFERROR(INDEX(PackRates!$C:$C,MATCH(1,INDEX((PackRates!$A$1:$A$500=G189)*(PackRates!$B$1:$B$500=H189),0),0)),""))</f>
        <v/>
      </c>
      <c r="K189" s="38">
        <f>IF(OR(I189="",J189=""),"",IFERROR(I189*J189*INDEX(Products!$K:$K,MATCH(G189,Products!$A:$A,0)),""))</f>
        <v/>
      </c>
      <c r="L189" s="38">
        <f>IF(A189="","",IF(A189=A188,M188+1,1))</f>
        <v/>
      </c>
      <c r="M189" s="38">
        <f>IF(OR(L189="",I189=""),"",L189+I189-1)</f>
        <v/>
      </c>
      <c r="N189" s="38">
        <f>IF(A189="","",SUMIF($A$2:$A$500,A189,$I$2:$I$500))</f>
        <v/>
      </c>
    </row>
    <row r="190" ht="15" customHeight="1" s="22">
      <c r="J190" s="38">
        <f>IF(G190="","",IFERROR(INDEX(PackRates!$C:$C,MATCH(1,INDEX((PackRates!$A$1:$A$500=G190)*(PackRates!$B$1:$B$500=H190),0),0)),""))</f>
        <v/>
      </c>
      <c r="K190" s="38">
        <f>IF(OR(I190="",J190=""),"",IFERROR(I190*J190*INDEX(Products!$K:$K,MATCH(G190,Products!$A:$A,0)),""))</f>
        <v/>
      </c>
      <c r="L190" s="38">
        <f>IF(A190="","",IF(A190=A189,M189+1,1))</f>
        <v/>
      </c>
      <c r="M190" s="38">
        <f>IF(OR(L190="",I190=""),"",L190+I190-1)</f>
        <v/>
      </c>
      <c r="N190" s="38">
        <f>IF(A190="","",SUMIF($A$2:$A$500,A190,$I$2:$I$500))</f>
        <v/>
      </c>
    </row>
    <row r="191" ht="15" customHeight="1" s="22">
      <c r="J191" s="38">
        <f>IF(G191="","",IFERROR(INDEX(PackRates!$C:$C,MATCH(1,INDEX((PackRates!$A$1:$A$500=G191)*(PackRates!$B$1:$B$500=H191),0),0)),""))</f>
        <v/>
      </c>
      <c r="K191" s="38">
        <f>IF(OR(I191="",J191=""),"",IFERROR(I191*J191*INDEX(Products!$K:$K,MATCH(G191,Products!$A:$A,0)),""))</f>
        <v/>
      </c>
      <c r="L191" s="38">
        <f>IF(A191="","",IF(A191=A190,M190+1,1))</f>
        <v/>
      </c>
      <c r="M191" s="38">
        <f>IF(OR(L191="",I191=""),"",L191+I191-1)</f>
        <v/>
      </c>
      <c r="N191" s="38">
        <f>IF(A191="","",SUMIF($A$2:$A$500,A191,$I$2:$I$500))</f>
        <v/>
      </c>
    </row>
    <row r="192" ht="15" customHeight="1" s="22">
      <c r="J192" s="38">
        <f>IF(G192="","",IFERROR(INDEX(PackRates!$C:$C,MATCH(1,INDEX((PackRates!$A$1:$A$500=G192)*(PackRates!$B$1:$B$500=H192),0),0)),""))</f>
        <v/>
      </c>
      <c r="K192" s="38">
        <f>IF(OR(I192="",J192=""),"",IFERROR(I192*J192*INDEX(Products!$K:$K,MATCH(G192,Products!$A:$A,0)),""))</f>
        <v/>
      </c>
      <c r="L192" s="38">
        <f>IF(A192="","",IF(A192=A191,M191+1,1))</f>
        <v/>
      </c>
      <c r="M192" s="38">
        <f>IF(OR(L192="",I192=""),"",L192+I192-1)</f>
        <v/>
      </c>
      <c r="N192" s="38">
        <f>IF(A192="","",SUMIF($A$2:$A$500,A192,$I$2:$I$500))</f>
        <v/>
      </c>
    </row>
    <row r="193" ht="15" customHeight="1" s="22">
      <c r="J193" s="38">
        <f>IF(G193="","",IFERROR(INDEX(PackRates!$C:$C,MATCH(1,INDEX((PackRates!$A$1:$A$500=G193)*(PackRates!$B$1:$B$500=H193),0),0)),""))</f>
        <v/>
      </c>
      <c r="K193" s="38">
        <f>IF(OR(I193="",J193=""),"",IFERROR(I193*J193*INDEX(Products!$K:$K,MATCH(G193,Products!$A:$A,0)),""))</f>
        <v/>
      </c>
      <c r="L193" s="38">
        <f>IF(A193="","",IF(A193=A192,M192+1,1))</f>
        <v/>
      </c>
      <c r="M193" s="38">
        <f>IF(OR(L193="",I193=""),"",L193+I193-1)</f>
        <v/>
      </c>
      <c r="N193" s="38">
        <f>IF(A193="","",SUMIF($A$2:$A$500,A193,$I$2:$I$500))</f>
        <v/>
      </c>
    </row>
    <row r="194" ht="15" customHeight="1" s="22">
      <c r="J194" s="38">
        <f>IF(G194="","",IFERROR(INDEX(PackRates!$C:$C,MATCH(1,INDEX((PackRates!$A$1:$A$500=G194)*(PackRates!$B$1:$B$500=H194),0),0)),""))</f>
        <v/>
      </c>
      <c r="K194" s="38">
        <f>IF(OR(I194="",J194=""),"",IFERROR(I194*J194*INDEX(Products!$K:$K,MATCH(G194,Products!$A:$A,0)),""))</f>
        <v/>
      </c>
      <c r="L194" s="38">
        <f>IF(A194="","",IF(A194=A193,M193+1,1))</f>
        <v/>
      </c>
      <c r="M194" s="38">
        <f>IF(OR(L194="",I194=""),"",L194+I194-1)</f>
        <v/>
      </c>
      <c r="N194" s="38">
        <f>IF(A194="","",SUMIF($A$2:$A$500,A194,$I$2:$I$500))</f>
        <v/>
      </c>
    </row>
    <row r="195" ht="15" customHeight="1" s="22">
      <c r="J195" s="38">
        <f>IF(G195="","",IFERROR(INDEX(PackRates!$C:$C,MATCH(1,INDEX((PackRates!$A$1:$A$500=G195)*(PackRates!$B$1:$B$500=H195),0),0)),""))</f>
        <v/>
      </c>
      <c r="K195" s="38">
        <f>IF(OR(I195="",J195=""),"",IFERROR(I195*J195*INDEX(Products!$K:$K,MATCH(G195,Products!$A:$A,0)),""))</f>
        <v/>
      </c>
      <c r="L195" s="38">
        <f>IF(A195="","",IF(A195=A194,M194+1,1))</f>
        <v/>
      </c>
      <c r="M195" s="38">
        <f>IF(OR(L195="",I195=""),"",L195+I195-1)</f>
        <v/>
      </c>
      <c r="N195" s="38">
        <f>IF(A195="","",SUMIF($A$2:$A$500,A195,$I$2:$I$500))</f>
        <v/>
      </c>
    </row>
    <row r="196" ht="15" customHeight="1" s="22">
      <c r="J196" s="38">
        <f>IF(G196="","",IFERROR(INDEX(PackRates!$C:$C,MATCH(1,INDEX((PackRates!$A$1:$A$500=G196)*(PackRates!$B$1:$B$500=H196),0),0)),""))</f>
        <v/>
      </c>
      <c r="K196" s="38">
        <f>IF(OR(I196="",J196=""),"",IFERROR(I196*J196*INDEX(Products!$K:$K,MATCH(G196,Products!$A:$A,0)),""))</f>
        <v/>
      </c>
      <c r="L196" s="38">
        <f>IF(A196="","",IF(A196=A195,M195+1,1))</f>
        <v/>
      </c>
      <c r="M196" s="38">
        <f>IF(OR(L196="",I196=""),"",L196+I196-1)</f>
        <v/>
      </c>
      <c r="N196" s="38">
        <f>IF(A196="","",SUMIF($A$2:$A$500,A196,$I$2:$I$500))</f>
        <v/>
      </c>
    </row>
    <row r="197" ht="15" customHeight="1" s="22">
      <c r="J197" s="38">
        <f>IF(G197="","",IFERROR(INDEX(PackRates!$C:$C,MATCH(1,INDEX((PackRates!$A$1:$A$500=G197)*(PackRates!$B$1:$B$500=H197),0),0)),""))</f>
        <v/>
      </c>
      <c r="K197" s="38">
        <f>IF(OR(I197="",J197=""),"",IFERROR(I197*J197*INDEX(Products!$K:$K,MATCH(G197,Products!$A:$A,0)),""))</f>
        <v/>
      </c>
      <c r="L197" s="38">
        <f>IF(A197="","",IF(A197=A196,M196+1,1))</f>
        <v/>
      </c>
      <c r="M197" s="38">
        <f>IF(OR(L197="",I197=""),"",L197+I197-1)</f>
        <v/>
      </c>
      <c r="N197" s="38">
        <f>IF(A197="","",SUMIF($A$2:$A$500,A197,$I$2:$I$500))</f>
        <v/>
      </c>
    </row>
    <row r="198" ht="15" customHeight="1" s="22">
      <c r="J198" s="38">
        <f>IF(G198="","",IFERROR(INDEX(PackRates!$C:$C,MATCH(1,INDEX((PackRates!$A$1:$A$500=G198)*(PackRates!$B$1:$B$500=H198),0),0)),""))</f>
        <v/>
      </c>
      <c r="K198" s="38">
        <f>IF(OR(I198="",J198=""),"",IFERROR(I198*J198*INDEX(Products!$K:$K,MATCH(G198,Products!$A:$A,0)),""))</f>
        <v/>
      </c>
      <c r="L198" s="38">
        <f>IF(A198="","",IF(A198=A197,M197+1,1))</f>
        <v/>
      </c>
      <c r="M198" s="38">
        <f>IF(OR(L198="",I198=""),"",L198+I198-1)</f>
        <v/>
      </c>
      <c r="N198" s="38">
        <f>IF(A198="","",SUMIF($A$2:$A$500,A198,$I$2:$I$500))</f>
        <v/>
      </c>
    </row>
    <row r="199" ht="15" customHeight="1" s="22">
      <c r="J199" s="38">
        <f>IF(G199="","",IFERROR(INDEX(PackRates!$C:$C,MATCH(1,INDEX((PackRates!$A$1:$A$500=G199)*(PackRates!$B$1:$B$500=H199),0),0)),""))</f>
        <v/>
      </c>
      <c r="K199" s="38">
        <f>IF(OR(I199="",J199=""),"",IFERROR(I199*J199*INDEX(Products!$K:$K,MATCH(G199,Products!$A:$A,0)),""))</f>
        <v/>
      </c>
      <c r="L199" s="38">
        <f>IF(A199="","",IF(A199=A198,M198+1,1))</f>
        <v/>
      </c>
      <c r="M199" s="38">
        <f>IF(OR(L199="",I199=""),"",L199+I199-1)</f>
        <v/>
      </c>
      <c r="N199" s="38">
        <f>IF(A199="","",SUMIF($A$2:$A$500,A199,$I$2:$I$500))</f>
        <v/>
      </c>
    </row>
    <row r="200" ht="15" customHeight="1" s="22">
      <c r="J200" s="38">
        <f>IF(G200="","",IFERROR(INDEX(PackRates!$C:$C,MATCH(1,INDEX((PackRates!$A$1:$A$500=G200)*(PackRates!$B$1:$B$500=H200),0),0)),""))</f>
        <v/>
      </c>
      <c r="K200" s="38">
        <f>IF(OR(I200="",J200=""),"",IFERROR(I200*J200*INDEX(Products!$K:$K,MATCH(G200,Products!$A:$A,0)),""))</f>
        <v/>
      </c>
      <c r="L200" s="38">
        <f>IF(A200="","",IF(A200=A199,M199+1,1))</f>
        <v/>
      </c>
      <c r="M200" s="38">
        <f>IF(OR(L200="",I200=""),"",L200+I200-1)</f>
        <v/>
      </c>
      <c r="N200" s="38">
        <f>IF(A200="","",SUMIF($A$2:$A$500,A200,$I$2:$I$500))</f>
        <v/>
      </c>
    </row>
    <row r="201" ht="15" customHeight="1" s="22">
      <c r="J201" s="38">
        <f>IF(G201="","",IFERROR(INDEX(PackRates!$C:$C,MATCH(1,INDEX((PackRates!$A$1:$A$500=G201)*(PackRates!$B$1:$B$500=H201),0),0)),""))</f>
        <v/>
      </c>
      <c r="K201" s="38">
        <f>IF(OR(I201="",J201=""),"",IFERROR(I201*J201*INDEX(Products!$K:$K,MATCH(G201,Products!$A:$A,0)),""))</f>
        <v/>
      </c>
      <c r="L201" s="38">
        <f>IF(A201="","",IF(A201=A200,M200+1,1))</f>
        <v/>
      </c>
      <c r="M201" s="38">
        <f>IF(OR(L201="",I201=""),"",L201+I201-1)</f>
        <v/>
      </c>
      <c r="N201" s="38">
        <f>IF(A201="","",SUMIF($A$2:$A$500,A201,$I$2:$I$500))</f>
        <v/>
      </c>
    </row>
    <row r="202" ht="15" customHeight="1" s="22">
      <c r="J202" s="38">
        <f>IF(G202="","",IFERROR(INDEX(PackRates!$C:$C,MATCH(1,INDEX((PackRates!$A$1:$A$500=G202)*(PackRates!$B$1:$B$500=H202),0),0)),""))</f>
        <v/>
      </c>
      <c r="K202" s="38">
        <f>IF(OR(I202="",J202=""),"",IFERROR(I202*J202*INDEX(Products!$K:$K,MATCH(G202,Products!$A:$A,0)),""))</f>
        <v/>
      </c>
      <c r="L202" s="38">
        <f>IF(A202="","",IF(A202=A201,M201+1,1))</f>
        <v/>
      </c>
      <c r="M202" s="38">
        <f>IF(OR(L202="",I202=""),"",L202+I202-1)</f>
        <v/>
      </c>
      <c r="N202" s="38">
        <f>IF(A202="","",SUMIF($A$2:$A$500,A202,$I$2:$I$500))</f>
        <v/>
      </c>
    </row>
    <row r="203" ht="15" customHeight="1" s="22">
      <c r="J203" s="38">
        <f>IF(G203="","",IFERROR(INDEX(PackRates!$C:$C,MATCH(1,INDEX((PackRates!$A$1:$A$500=G203)*(PackRates!$B$1:$B$500=H203),0),0)),""))</f>
        <v/>
      </c>
      <c r="K203" s="38">
        <f>IF(OR(I203="",J203=""),"",IFERROR(I203*J203*INDEX(Products!$K:$K,MATCH(G203,Products!$A:$A,0)),""))</f>
        <v/>
      </c>
      <c r="L203" s="38">
        <f>IF(A203="","",IF(A203=A202,M202+1,1))</f>
        <v/>
      </c>
      <c r="M203" s="38">
        <f>IF(OR(L203="",I203=""),"",L203+I203-1)</f>
        <v/>
      </c>
      <c r="N203" s="38">
        <f>IF(A203="","",SUMIF($A$2:$A$500,A203,$I$2:$I$500))</f>
        <v/>
      </c>
    </row>
    <row r="204" ht="15" customHeight="1" s="22">
      <c r="J204" s="38">
        <f>IF(G204="","",IFERROR(INDEX(PackRates!$C:$C,MATCH(1,INDEX((PackRates!$A$1:$A$500=G204)*(PackRates!$B$1:$B$500=H204),0),0)),""))</f>
        <v/>
      </c>
      <c r="K204" s="38">
        <f>IF(OR(I204="",J204=""),"",IFERROR(I204*J204*INDEX(Products!$K:$K,MATCH(G204,Products!$A:$A,0)),""))</f>
        <v/>
      </c>
      <c r="L204" s="38">
        <f>IF(A204="","",IF(A204=A203,M203+1,1))</f>
        <v/>
      </c>
      <c r="M204" s="38">
        <f>IF(OR(L204="",I204=""),"",L204+I204-1)</f>
        <v/>
      </c>
      <c r="N204" s="38">
        <f>IF(A204="","",SUMIF($A$2:$A$500,A204,$I$2:$I$500))</f>
        <v/>
      </c>
    </row>
    <row r="205" ht="15" customHeight="1" s="22">
      <c r="J205" s="38">
        <f>IF(G205="","",IFERROR(INDEX(PackRates!$C:$C,MATCH(1,INDEX((PackRates!$A$1:$A$500=G205)*(PackRates!$B$1:$B$500=H205),0),0)),""))</f>
        <v/>
      </c>
      <c r="K205" s="38">
        <f>IF(OR(I205="",J205=""),"",IFERROR(I205*J205*INDEX(Products!$K:$K,MATCH(G205,Products!$A:$A,0)),""))</f>
        <v/>
      </c>
      <c r="L205" s="38">
        <f>IF(A205="","",IF(A205=A204,M204+1,1))</f>
        <v/>
      </c>
      <c r="M205" s="38">
        <f>IF(OR(L205="",I205=""),"",L205+I205-1)</f>
        <v/>
      </c>
      <c r="N205" s="38">
        <f>IF(A205="","",SUMIF($A$2:$A$500,A205,$I$2:$I$500))</f>
        <v/>
      </c>
    </row>
    <row r="206" ht="15" customHeight="1" s="22">
      <c r="J206" s="38">
        <f>IF(G206="","",IFERROR(INDEX(PackRates!$C:$C,MATCH(1,INDEX((PackRates!$A$1:$A$500=G206)*(PackRates!$B$1:$B$500=H206),0),0)),""))</f>
        <v/>
      </c>
      <c r="K206" s="38">
        <f>IF(OR(I206="",J206=""),"",IFERROR(I206*J206*INDEX(Products!$K:$K,MATCH(G206,Products!$A:$A,0)),""))</f>
        <v/>
      </c>
      <c r="L206" s="38">
        <f>IF(A206="","",IF(A206=A205,M205+1,1))</f>
        <v/>
      </c>
      <c r="M206" s="38">
        <f>IF(OR(L206="",I206=""),"",L206+I206-1)</f>
        <v/>
      </c>
      <c r="N206" s="38">
        <f>IF(A206="","",SUMIF($A$2:$A$500,A206,$I$2:$I$500))</f>
        <v/>
      </c>
    </row>
    <row r="207" ht="15" customHeight="1" s="22">
      <c r="J207" s="38">
        <f>IF(G207="","",IFERROR(INDEX(PackRates!$C:$C,MATCH(1,INDEX((PackRates!$A$1:$A$500=G207)*(PackRates!$B$1:$B$500=H207),0),0)),""))</f>
        <v/>
      </c>
      <c r="K207" s="38">
        <f>IF(OR(I207="",J207=""),"",IFERROR(I207*J207*INDEX(Products!$K:$K,MATCH(G207,Products!$A:$A,0)),""))</f>
        <v/>
      </c>
      <c r="L207" s="38">
        <f>IF(A207="","",IF(A207=A206,M206+1,1))</f>
        <v/>
      </c>
      <c r="M207" s="38">
        <f>IF(OR(L207="",I207=""),"",L207+I207-1)</f>
        <v/>
      </c>
      <c r="N207" s="38">
        <f>IF(A207="","",SUMIF($A$2:$A$500,A207,$I$2:$I$500))</f>
        <v/>
      </c>
    </row>
    <row r="208" ht="15" customHeight="1" s="22">
      <c r="J208" s="38">
        <f>IF(G208="","",IFERROR(INDEX(PackRates!$C:$C,MATCH(1,INDEX((PackRates!$A$1:$A$500=G208)*(PackRates!$B$1:$B$500=H208),0),0)),""))</f>
        <v/>
      </c>
      <c r="K208" s="38">
        <f>IF(OR(I208="",J208=""),"",IFERROR(I208*J208*INDEX(Products!$K:$K,MATCH(G208,Products!$A:$A,0)),""))</f>
        <v/>
      </c>
      <c r="L208" s="38">
        <f>IF(A208="","",IF(A208=A207,M207+1,1))</f>
        <v/>
      </c>
      <c r="M208" s="38">
        <f>IF(OR(L208="",I208=""),"",L208+I208-1)</f>
        <v/>
      </c>
      <c r="N208" s="38">
        <f>IF(A208="","",SUMIF($A$2:$A$500,A208,$I$2:$I$500))</f>
        <v/>
      </c>
    </row>
    <row r="209" ht="15" customHeight="1" s="22">
      <c r="J209" s="38">
        <f>IF(G209="","",IFERROR(INDEX(PackRates!$C:$C,MATCH(1,INDEX((PackRates!$A$1:$A$500=G209)*(PackRates!$B$1:$B$500=H209),0),0)),""))</f>
        <v/>
      </c>
      <c r="K209" s="38">
        <f>IF(OR(I209="",J209=""),"",IFERROR(I209*J209*INDEX(Products!$K:$K,MATCH(G209,Products!$A:$A,0)),""))</f>
        <v/>
      </c>
      <c r="L209" s="38">
        <f>IF(A209="","",IF(A209=A208,M208+1,1))</f>
        <v/>
      </c>
      <c r="M209" s="38">
        <f>IF(OR(L209="",I209=""),"",L209+I209-1)</f>
        <v/>
      </c>
      <c r="N209" s="38">
        <f>IF(A209="","",SUMIF($A$2:$A$500,A209,$I$2:$I$500))</f>
        <v/>
      </c>
    </row>
    <row r="210" ht="15" customHeight="1" s="22">
      <c r="J210" s="38">
        <f>IF(G210="","",IFERROR(INDEX(PackRates!$C:$C,MATCH(1,INDEX((PackRates!$A$1:$A$500=G210)*(PackRates!$B$1:$B$500=H210),0),0)),""))</f>
        <v/>
      </c>
      <c r="K210" s="38">
        <f>IF(OR(I210="",J210=""),"",IFERROR(I210*J210*INDEX(Products!$K:$K,MATCH(G210,Products!$A:$A,0)),""))</f>
        <v/>
      </c>
      <c r="L210" s="38">
        <f>IF(A210="","",IF(A210=A209,M209+1,1))</f>
        <v/>
      </c>
      <c r="M210" s="38">
        <f>IF(OR(L210="",I210=""),"",L210+I210-1)</f>
        <v/>
      </c>
      <c r="N210" s="38">
        <f>IF(A210="","",SUMIF($A$2:$A$500,A210,$I$2:$I$500))</f>
        <v/>
      </c>
    </row>
    <row r="211" ht="15" customHeight="1" s="22">
      <c r="J211" s="38">
        <f>IF(G211="","",IFERROR(INDEX(PackRates!$C:$C,MATCH(1,INDEX((PackRates!$A$1:$A$500=G211)*(PackRates!$B$1:$B$500=H211),0),0)),""))</f>
        <v/>
      </c>
      <c r="K211" s="38">
        <f>IF(OR(I211="",J211=""),"",IFERROR(I211*J211*INDEX(Products!$K:$K,MATCH(G211,Products!$A:$A,0)),""))</f>
        <v/>
      </c>
      <c r="L211" s="38">
        <f>IF(A211="","",IF(A211=A210,M210+1,1))</f>
        <v/>
      </c>
      <c r="M211" s="38">
        <f>IF(OR(L211="",I211=""),"",L211+I211-1)</f>
        <v/>
      </c>
      <c r="N211" s="38">
        <f>IF(A211="","",SUMIF($A$2:$A$500,A211,$I$2:$I$500))</f>
        <v/>
      </c>
    </row>
    <row r="212" ht="15" customHeight="1" s="22">
      <c r="J212" s="38">
        <f>IF(G212="","",IFERROR(INDEX(PackRates!$C:$C,MATCH(1,INDEX((PackRates!$A$1:$A$500=G212)*(PackRates!$B$1:$B$500=H212),0),0)),""))</f>
        <v/>
      </c>
      <c r="K212" s="38">
        <f>IF(OR(I212="",J212=""),"",IFERROR(I212*J212*INDEX(Products!$K:$K,MATCH(G212,Products!$A:$A,0)),""))</f>
        <v/>
      </c>
      <c r="L212" s="38">
        <f>IF(A212="","",IF(A212=A211,M211+1,1))</f>
        <v/>
      </c>
      <c r="M212" s="38">
        <f>IF(OR(L212="",I212=""),"",L212+I212-1)</f>
        <v/>
      </c>
      <c r="N212" s="38">
        <f>IF(A212="","",SUMIF($A$2:$A$500,A212,$I$2:$I$500))</f>
        <v/>
      </c>
    </row>
    <row r="213" ht="15" customHeight="1" s="22">
      <c r="J213" s="38">
        <f>IF(G213="","",IFERROR(INDEX(PackRates!$C:$C,MATCH(1,INDEX((PackRates!$A$1:$A$500=G213)*(PackRates!$B$1:$B$500=H213),0),0)),""))</f>
        <v/>
      </c>
      <c r="K213" s="38">
        <f>IF(OR(I213="",J213=""),"",IFERROR(I213*J213*INDEX(Products!$K:$K,MATCH(G213,Products!$A:$A,0)),""))</f>
        <v/>
      </c>
      <c r="L213" s="38">
        <f>IF(A213="","",IF(A213=A212,M212+1,1))</f>
        <v/>
      </c>
      <c r="M213" s="38">
        <f>IF(OR(L213="",I213=""),"",L213+I213-1)</f>
        <v/>
      </c>
      <c r="N213" s="38">
        <f>IF(A213="","",SUMIF($A$2:$A$500,A213,$I$2:$I$500))</f>
        <v/>
      </c>
    </row>
    <row r="214" ht="15" customHeight="1" s="22">
      <c r="J214" s="38">
        <f>IF(G214="","",IFERROR(INDEX(PackRates!$C:$C,MATCH(1,INDEX((PackRates!$A$1:$A$500=G214)*(PackRates!$B$1:$B$500=H214),0),0)),""))</f>
        <v/>
      </c>
      <c r="K214" s="38">
        <f>IF(OR(I214="",J214=""),"",IFERROR(I214*J214*INDEX(Products!$K:$K,MATCH(G214,Products!$A:$A,0)),""))</f>
        <v/>
      </c>
      <c r="L214" s="38">
        <f>IF(A214="","",IF(A214=A213,M213+1,1))</f>
        <v/>
      </c>
      <c r="M214" s="38">
        <f>IF(OR(L214="",I214=""),"",L214+I214-1)</f>
        <v/>
      </c>
      <c r="N214" s="38">
        <f>IF(A214="","",SUMIF($A$2:$A$500,A214,$I$2:$I$500))</f>
        <v/>
      </c>
    </row>
    <row r="215" ht="15" customHeight="1" s="22">
      <c r="J215" s="38">
        <f>IF(G215="","",IFERROR(INDEX(PackRates!$C:$C,MATCH(1,INDEX((PackRates!$A$1:$A$500=G215)*(PackRates!$B$1:$B$500=H215),0),0)),""))</f>
        <v/>
      </c>
      <c r="K215" s="38">
        <f>IF(OR(I215="",J215=""),"",IFERROR(I215*J215*INDEX(Products!$K:$K,MATCH(G215,Products!$A:$A,0)),""))</f>
        <v/>
      </c>
      <c r="L215" s="38">
        <f>IF(A215="","",IF(A215=A214,M214+1,1))</f>
        <v/>
      </c>
      <c r="M215" s="38">
        <f>IF(OR(L215="",I215=""),"",L215+I215-1)</f>
        <v/>
      </c>
      <c r="N215" s="38">
        <f>IF(A215="","",SUMIF($A$2:$A$500,A215,$I$2:$I$500))</f>
        <v/>
      </c>
    </row>
    <row r="216" ht="15" customHeight="1" s="22">
      <c r="J216" s="38">
        <f>IF(G216="","",IFERROR(INDEX(PackRates!$C:$C,MATCH(1,INDEX((PackRates!$A$1:$A$500=G216)*(PackRates!$B$1:$B$500=H216),0),0)),""))</f>
        <v/>
      </c>
      <c r="K216" s="38">
        <f>IF(OR(I216="",J216=""),"",IFERROR(I216*J216*INDEX(Products!$K:$K,MATCH(G216,Products!$A:$A,0)),""))</f>
        <v/>
      </c>
      <c r="L216" s="38">
        <f>IF(A216="","",IF(A216=A215,M215+1,1))</f>
        <v/>
      </c>
      <c r="M216" s="38">
        <f>IF(OR(L216="",I216=""),"",L216+I216-1)</f>
        <v/>
      </c>
      <c r="N216" s="38">
        <f>IF(A216="","",SUMIF($A$2:$A$500,A216,$I$2:$I$500))</f>
        <v/>
      </c>
    </row>
    <row r="217" ht="15" customHeight="1" s="22">
      <c r="J217" s="38">
        <f>IF(G217="","",IFERROR(INDEX(PackRates!$C:$C,MATCH(1,INDEX((PackRates!$A$1:$A$500=G217)*(PackRates!$B$1:$B$500=H217),0),0)),""))</f>
        <v/>
      </c>
      <c r="K217" s="38">
        <f>IF(OR(I217="",J217=""),"",IFERROR(I217*J217*INDEX(Products!$K:$K,MATCH(G217,Products!$A:$A,0)),""))</f>
        <v/>
      </c>
      <c r="L217" s="38">
        <f>IF(A217="","",IF(A217=A216,M216+1,1))</f>
        <v/>
      </c>
      <c r="M217" s="38">
        <f>IF(OR(L217="",I217=""),"",L217+I217-1)</f>
        <v/>
      </c>
      <c r="N217" s="38">
        <f>IF(A217="","",SUMIF($A$2:$A$500,A217,$I$2:$I$500))</f>
        <v/>
      </c>
    </row>
    <row r="218" ht="15" customHeight="1" s="22">
      <c r="J218" s="38">
        <f>IF(G218="","",IFERROR(INDEX(PackRates!$C:$C,MATCH(1,INDEX((PackRates!$A$1:$A$500=G218)*(PackRates!$B$1:$B$500=H218),0),0)),""))</f>
        <v/>
      </c>
      <c r="K218" s="38">
        <f>IF(OR(I218="",J218=""),"",IFERROR(I218*J218*INDEX(Products!$K:$K,MATCH(G218,Products!$A:$A,0)),""))</f>
        <v/>
      </c>
      <c r="L218" s="38">
        <f>IF(A218="","",IF(A218=A217,M217+1,1))</f>
        <v/>
      </c>
      <c r="M218" s="38">
        <f>IF(OR(L218="",I218=""),"",L218+I218-1)</f>
        <v/>
      </c>
      <c r="N218" s="38">
        <f>IF(A218="","",SUMIF($A$2:$A$500,A218,$I$2:$I$500))</f>
        <v/>
      </c>
    </row>
    <row r="219" ht="15" customHeight="1" s="22">
      <c r="J219" s="38">
        <f>IF(G219="","",IFERROR(INDEX(PackRates!$C:$C,MATCH(1,INDEX((PackRates!$A$1:$A$500=G219)*(PackRates!$B$1:$B$500=H219),0),0)),""))</f>
        <v/>
      </c>
      <c r="K219" s="38">
        <f>IF(OR(I219="",J219=""),"",IFERROR(I219*J219*INDEX(Products!$K:$K,MATCH(G219,Products!$A:$A,0)),""))</f>
        <v/>
      </c>
      <c r="L219" s="38">
        <f>IF(A219="","",IF(A219=A218,M218+1,1))</f>
        <v/>
      </c>
      <c r="M219" s="38">
        <f>IF(OR(L219="",I219=""),"",L219+I219-1)</f>
        <v/>
      </c>
      <c r="N219" s="38">
        <f>IF(A219="","",SUMIF($A$2:$A$500,A219,$I$2:$I$500))</f>
        <v/>
      </c>
    </row>
    <row r="220" ht="15" customHeight="1" s="22">
      <c r="J220" s="38">
        <f>IF(G220="","",IFERROR(INDEX(PackRates!$C:$C,MATCH(1,INDEX((PackRates!$A$1:$A$500=G220)*(PackRates!$B$1:$B$500=H220),0),0)),""))</f>
        <v/>
      </c>
      <c r="K220" s="38">
        <f>IF(OR(I220="",J220=""),"",IFERROR(I220*J220*INDEX(Products!$K:$K,MATCH(G220,Products!$A:$A,0)),""))</f>
        <v/>
      </c>
      <c r="L220" s="38">
        <f>IF(A220="","",IF(A220=A219,M219+1,1))</f>
        <v/>
      </c>
      <c r="M220" s="38">
        <f>IF(OR(L220="",I220=""),"",L220+I220-1)</f>
        <v/>
      </c>
      <c r="N220" s="38">
        <f>IF(A220="","",SUMIF($A$2:$A$500,A220,$I$2:$I$500))</f>
        <v/>
      </c>
    </row>
    <row r="221" ht="15" customHeight="1" s="22">
      <c r="J221" s="38">
        <f>IF(G221="","",IFERROR(INDEX(PackRates!$C:$C,MATCH(1,INDEX((PackRates!$A$1:$A$500=G221)*(PackRates!$B$1:$B$500=H221),0),0)),""))</f>
        <v/>
      </c>
      <c r="K221" s="38">
        <f>IF(OR(I221="",J221=""),"",IFERROR(I221*J221*INDEX(Products!$K:$K,MATCH(G221,Products!$A:$A,0)),""))</f>
        <v/>
      </c>
      <c r="L221" s="38">
        <f>IF(A221="","",IF(A221=A220,M220+1,1))</f>
        <v/>
      </c>
      <c r="M221" s="38">
        <f>IF(OR(L221="",I221=""),"",L221+I221-1)</f>
        <v/>
      </c>
      <c r="N221" s="38">
        <f>IF(A221="","",SUMIF($A$2:$A$500,A221,$I$2:$I$500))</f>
        <v/>
      </c>
    </row>
    <row r="222" ht="15" customHeight="1" s="22">
      <c r="J222" s="38">
        <f>IF(G222="","",IFERROR(INDEX(PackRates!$C:$C,MATCH(1,INDEX((PackRates!$A$1:$A$500=G222)*(PackRates!$B$1:$B$500=H222),0),0)),""))</f>
        <v/>
      </c>
      <c r="K222" s="38">
        <f>IF(OR(I222="",J222=""),"",IFERROR(I222*J222*INDEX(Products!$K:$K,MATCH(G222,Products!$A:$A,0)),""))</f>
        <v/>
      </c>
      <c r="L222" s="38">
        <f>IF(A222="","",IF(A222=A221,M221+1,1))</f>
        <v/>
      </c>
      <c r="M222" s="38">
        <f>IF(OR(L222="",I222=""),"",L222+I222-1)</f>
        <v/>
      </c>
      <c r="N222" s="38">
        <f>IF(A222="","",SUMIF($A$2:$A$500,A222,$I$2:$I$500))</f>
        <v/>
      </c>
    </row>
    <row r="223" ht="15" customHeight="1" s="22">
      <c r="J223" s="38">
        <f>IF(G223="","",IFERROR(INDEX(PackRates!$C:$C,MATCH(1,INDEX((PackRates!$A$1:$A$500=G223)*(PackRates!$B$1:$B$500=H223),0),0)),""))</f>
        <v/>
      </c>
      <c r="K223" s="38">
        <f>IF(OR(I223="",J223=""),"",IFERROR(I223*J223*INDEX(Products!$K:$K,MATCH(G223,Products!$A:$A,0)),""))</f>
        <v/>
      </c>
      <c r="L223" s="38">
        <f>IF(A223="","",IF(A223=A222,M222+1,1))</f>
        <v/>
      </c>
      <c r="M223" s="38">
        <f>IF(OR(L223="",I223=""),"",L223+I223-1)</f>
        <v/>
      </c>
      <c r="N223" s="38">
        <f>IF(A223="","",SUMIF($A$2:$A$500,A223,$I$2:$I$500))</f>
        <v/>
      </c>
    </row>
    <row r="224" ht="15" customHeight="1" s="22">
      <c r="J224" s="38">
        <f>IF(G224="","",IFERROR(INDEX(PackRates!$C:$C,MATCH(1,INDEX((PackRates!$A$1:$A$500=G224)*(PackRates!$B$1:$B$500=H224),0),0)),""))</f>
        <v/>
      </c>
      <c r="K224" s="38">
        <f>IF(OR(I224="",J224=""),"",IFERROR(I224*J224*INDEX(Products!$K:$K,MATCH(G224,Products!$A:$A,0)),""))</f>
        <v/>
      </c>
      <c r="L224" s="38">
        <f>IF(A224="","",IF(A224=A223,M223+1,1))</f>
        <v/>
      </c>
      <c r="M224" s="38">
        <f>IF(OR(L224="",I224=""),"",L224+I224-1)</f>
        <v/>
      </c>
      <c r="N224" s="38">
        <f>IF(A224="","",SUMIF($A$2:$A$500,A224,$I$2:$I$500))</f>
        <v/>
      </c>
    </row>
    <row r="225" ht="15" customHeight="1" s="22">
      <c r="J225" s="38">
        <f>IF(G225="","",IFERROR(INDEX(PackRates!$C:$C,MATCH(1,INDEX((PackRates!$A$1:$A$500=G225)*(PackRates!$B$1:$B$500=H225),0),0)),""))</f>
        <v/>
      </c>
      <c r="K225" s="38">
        <f>IF(OR(I225="",J225=""),"",IFERROR(I225*J225*INDEX(Products!$K:$K,MATCH(G225,Products!$A:$A,0)),""))</f>
        <v/>
      </c>
      <c r="L225" s="38">
        <f>IF(A225="","",IF(A225=A224,M224+1,1))</f>
        <v/>
      </c>
      <c r="M225" s="38">
        <f>IF(OR(L225="",I225=""),"",L225+I225-1)</f>
        <v/>
      </c>
      <c r="N225" s="38">
        <f>IF(A225="","",SUMIF($A$2:$A$500,A225,$I$2:$I$500))</f>
        <v/>
      </c>
    </row>
    <row r="226" ht="15" customHeight="1" s="22">
      <c r="J226" s="38">
        <f>IF(G226="","",IFERROR(INDEX(PackRates!$C:$C,MATCH(1,INDEX((PackRates!$A$1:$A$500=G226)*(PackRates!$B$1:$B$500=H226),0),0)),""))</f>
        <v/>
      </c>
      <c r="K226" s="38">
        <f>IF(OR(I226="",J226=""),"",IFERROR(I226*J226*INDEX(Products!$K:$K,MATCH(G226,Products!$A:$A,0)),""))</f>
        <v/>
      </c>
      <c r="L226" s="38">
        <f>IF(A226="","",IF(A226=A225,M225+1,1))</f>
        <v/>
      </c>
      <c r="M226" s="38">
        <f>IF(OR(L226="",I226=""),"",L226+I226-1)</f>
        <v/>
      </c>
      <c r="N226" s="38">
        <f>IF(A226="","",SUMIF($A$2:$A$500,A226,$I$2:$I$500))</f>
        <v/>
      </c>
    </row>
    <row r="227" ht="15" customHeight="1" s="22">
      <c r="J227" s="38">
        <f>IF(G227="","",IFERROR(INDEX(PackRates!$C:$C,MATCH(1,INDEX((PackRates!$A$1:$A$500=G227)*(PackRates!$B$1:$B$500=H227),0),0)),""))</f>
        <v/>
      </c>
      <c r="K227" s="38">
        <f>IF(OR(I227="",J227=""),"",IFERROR(I227*J227*INDEX(Products!$K:$K,MATCH(G227,Products!$A:$A,0)),""))</f>
        <v/>
      </c>
      <c r="L227" s="38">
        <f>IF(A227="","",IF(A227=A226,M226+1,1))</f>
        <v/>
      </c>
      <c r="M227" s="38">
        <f>IF(OR(L227="",I227=""),"",L227+I227-1)</f>
        <v/>
      </c>
      <c r="N227" s="38">
        <f>IF(A227="","",SUMIF($A$2:$A$500,A227,$I$2:$I$500))</f>
        <v/>
      </c>
    </row>
    <row r="228" ht="15" customHeight="1" s="22">
      <c r="J228" s="38">
        <f>IF(G228="","",IFERROR(INDEX(PackRates!$C:$C,MATCH(1,INDEX((PackRates!$A$1:$A$500=G228)*(PackRates!$B$1:$B$500=H228),0),0)),""))</f>
        <v/>
      </c>
      <c r="K228" s="38">
        <f>IF(OR(I228="",J228=""),"",IFERROR(I228*J228*INDEX(Products!$K:$K,MATCH(G228,Products!$A:$A,0)),""))</f>
        <v/>
      </c>
      <c r="L228" s="38">
        <f>IF(A228="","",IF(A228=A227,M227+1,1))</f>
        <v/>
      </c>
      <c r="M228" s="38">
        <f>IF(OR(L228="",I228=""),"",L228+I228-1)</f>
        <v/>
      </c>
      <c r="N228" s="38">
        <f>IF(A228="","",SUMIF($A$2:$A$500,A228,$I$2:$I$500))</f>
        <v/>
      </c>
    </row>
    <row r="229" ht="15" customHeight="1" s="22">
      <c r="J229" s="38">
        <f>IF(G229="","",IFERROR(INDEX(PackRates!$C:$C,MATCH(1,INDEX((PackRates!$A$1:$A$500=G229)*(PackRates!$B$1:$B$500=H229),0),0)),""))</f>
        <v/>
      </c>
      <c r="K229" s="38">
        <f>IF(OR(I229="",J229=""),"",IFERROR(I229*J229*INDEX(Products!$K:$K,MATCH(G229,Products!$A:$A,0)),""))</f>
        <v/>
      </c>
      <c r="L229" s="38">
        <f>IF(A229="","",IF(A229=A228,M228+1,1))</f>
        <v/>
      </c>
      <c r="M229" s="38">
        <f>IF(OR(L229="",I229=""),"",L229+I229-1)</f>
        <v/>
      </c>
      <c r="N229" s="38">
        <f>IF(A229="","",SUMIF($A$2:$A$500,A229,$I$2:$I$500))</f>
        <v/>
      </c>
    </row>
    <row r="230" ht="15" customHeight="1" s="22">
      <c r="J230" s="38">
        <f>IF(G230="","",IFERROR(INDEX(PackRates!$C:$C,MATCH(1,INDEX((PackRates!$A$1:$A$500=G230)*(PackRates!$B$1:$B$500=H230),0),0)),""))</f>
        <v/>
      </c>
      <c r="K230" s="38">
        <f>IF(OR(I230="",J230=""),"",IFERROR(I230*J230*INDEX(Products!$K:$K,MATCH(G230,Products!$A:$A,0)),""))</f>
        <v/>
      </c>
      <c r="L230" s="38">
        <f>IF(A230="","",IF(A230=A229,M229+1,1))</f>
        <v/>
      </c>
      <c r="M230" s="38">
        <f>IF(OR(L230="",I230=""),"",L230+I230-1)</f>
        <v/>
      </c>
      <c r="N230" s="38">
        <f>IF(A230="","",SUMIF($A$2:$A$500,A230,$I$2:$I$500))</f>
        <v/>
      </c>
    </row>
    <row r="231" ht="15" customHeight="1" s="22">
      <c r="J231" s="38">
        <f>IF(G231="","",IFERROR(INDEX(PackRates!$C:$C,MATCH(1,INDEX((PackRates!$A$1:$A$500=G231)*(PackRates!$B$1:$B$500=H231),0),0)),""))</f>
        <v/>
      </c>
      <c r="K231" s="38">
        <f>IF(OR(I231="",J231=""),"",IFERROR(I231*J231*INDEX(Products!$K:$K,MATCH(G231,Products!$A:$A,0)),""))</f>
        <v/>
      </c>
      <c r="L231" s="38">
        <f>IF(A231="","",IF(A231=A230,M230+1,1))</f>
        <v/>
      </c>
      <c r="M231" s="38">
        <f>IF(OR(L231="",I231=""),"",L231+I231-1)</f>
        <v/>
      </c>
      <c r="N231" s="38">
        <f>IF(A231="","",SUMIF($A$2:$A$500,A231,$I$2:$I$500))</f>
        <v/>
      </c>
    </row>
    <row r="232" ht="15" customHeight="1" s="22">
      <c r="J232" s="38">
        <f>IF(G232="","",IFERROR(INDEX(PackRates!$C:$C,MATCH(1,INDEX((PackRates!$A$1:$A$500=G232)*(PackRates!$B$1:$B$500=H232),0),0)),""))</f>
        <v/>
      </c>
      <c r="K232" s="38">
        <f>IF(OR(I232="",J232=""),"",IFERROR(I232*J232*INDEX(Products!$K:$K,MATCH(G232,Products!$A:$A,0)),""))</f>
        <v/>
      </c>
      <c r="L232" s="38">
        <f>IF(A232="","",IF(A232=A231,M231+1,1))</f>
        <v/>
      </c>
      <c r="M232" s="38">
        <f>IF(OR(L232="",I232=""),"",L232+I232-1)</f>
        <v/>
      </c>
      <c r="N232" s="38">
        <f>IF(A232="","",SUMIF($A$2:$A$500,A232,$I$2:$I$500))</f>
        <v/>
      </c>
    </row>
    <row r="233" ht="15" customHeight="1" s="22">
      <c r="J233" s="38">
        <f>IF(G233="","",IFERROR(INDEX(PackRates!$C:$C,MATCH(1,INDEX((PackRates!$A$1:$A$500=G233)*(PackRates!$B$1:$B$500=H233),0),0)),""))</f>
        <v/>
      </c>
      <c r="K233" s="38">
        <f>IF(OR(I233="",J233=""),"",IFERROR(I233*J233*INDEX(Products!$K:$K,MATCH(G233,Products!$A:$A,0)),""))</f>
        <v/>
      </c>
      <c r="L233" s="38">
        <f>IF(A233="","",IF(A233=A232,M232+1,1))</f>
        <v/>
      </c>
      <c r="M233" s="38">
        <f>IF(OR(L233="",I233=""),"",L233+I233-1)</f>
        <v/>
      </c>
      <c r="N233" s="38">
        <f>IF(A233="","",SUMIF($A$2:$A$500,A233,$I$2:$I$500))</f>
        <v/>
      </c>
    </row>
    <row r="234" ht="15" customHeight="1" s="22">
      <c r="J234" s="38">
        <f>IF(G234="","",IFERROR(INDEX(PackRates!$C:$C,MATCH(1,INDEX((PackRates!$A$1:$A$500=G234)*(PackRates!$B$1:$B$500=H234),0),0)),""))</f>
        <v/>
      </c>
      <c r="K234" s="38">
        <f>IF(OR(I234="",J234=""),"",IFERROR(I234*J234*INDEX(Products!$K:$K,MATCH(G234,Products!$A:$A,0)),""))</f>
        <v/>
      </c>
      <c r="L234" s="38">
        <f>IF(A234="","",IF(A234=A233,M233+1,1))</f>
        <v/>
      </c>
      <c r="M234" s="38">
        <f>IF(OR(L234="",I234=""),"",L234+I234-1)</f>
        <v/>
      </c>
      <c r="N234" s="38">
        <f>IF(A234="","",SUMIF($A$2:$A$500,A234,$I$2:$I$500))</f>
        <v/>
      </c>
    </row>
    <row r="235" ht="15" customHeight="1" s="22">
      <c r="J235" s="38">
        <f>IF(G235="","",IFERROR(INDEX(PackRates!$C:$C,MATCH(1,INDEX((PackRates!$A$1:$A$500=G235)*(PackRates!$B$1:$B$500=H235),0),0)),""))</f>
        <v/>
      </c>
      <c r="K235" s="38">
        <f>IF(OR(I235="",J235=""),"",IFERROR(I235*J235*INDEX(Products!$K:$K,MATCH(G235,Products!$A:$A,0)),""))</f>
        <v/>
      </c>
      <c r="L235" s="38">
        <f>IF(A235="","",IF(A235=A234,M234+1,1))</f>
        <v/>
      </c>
      <c r="M235" s="38">
        <f>IF(OR(L235="",I235=""),"",L235+I235-1)</f>
        <v/>
      </c>
      <c r="N235" s="38">
        <f>IF(A235="","",SUMIF($A$2:$A$500,A235,$I$2:$I$500))</f>
        <v/>
      </c>
    </row>
    <row r="236" ht="15" customHeight="1" s="22">
      <c r="J236" s="38">
        <f>IF(G236="","",IFERROR(INDEX(PackRates!$C:$C,MATCH(1,INDEX((PackRates!$A$1:$A$500=G236)*(PackRates!$B$1:$B$500=H236),0),0)),""))</f>
        <v/>
      </c>
      <c r="K236" s="38">
        <f>IF(OR(I236="",J236=""),"",IFERROR(I236*J236*INDEX(Products!$K:$K,MATCH(G236,Products!$A:$A,0)),""))</f>
        <v/>
      </c>
      <c r="L236" s="38">
        <f>IF(A236="","",IF(A236=A235,M235+1,1))</f>
        <v/>
      </c>
      <c r="M236" s="38">
        <f>IF(OR(L236="",I236=""),"",L236+I236-1)</f>
        <v/>
      </c>
      <c r="N236" s="38">
        <f>IF(A236="","",SUMIF($A$2:$A$500,A236,$I$2:$I$500))</f>
        <v/>
      </c>
    </row>
    <row r="237" ht="15" customHeight="1" s="22">
      <c r="J237" s="38">
        <f>IF(G237="","",IFERROR(INDEX(PackRates!$C:$C,MATCH(1,INDEX((PackRates!$A$1:$A$500=G237)*(PackRates!$B$1:$B$500=H237),0),0)),""))</f>
        <v/>
      </c>
      <c r="K237" s="38">
        <f>IF(OR(I237="",J237=""),"",IFERROR(I237*J237*INDEX(Products!$K:$K,MATCH(G237,Products!$A:$A,0)),""))</f>
        <v/>
      </c>
      <c r="L237" s="38">
        <f>IF(A237="","",IF(A237=A236,M236+1,1))</f>
        <v/>
      </c>
      <c r="M237" s="38">
        <f>IF(OR(L237="",I237=""),"",L237+I237-1)</f>
        <v/>
      </c>
      <c r="N237" s="38">
        <f>IF(A237="","",SUMIF($A$2:$A$500,A237,$I$2:$I$500))</f>
        <v/>
      </c>
    </row>
    <row r="238" ht="15" customHeight="1" s="22">
      <c r="J238" s="38">
        <f>IF(G238="","",IFERROR(INDEX(PackRates!$C:$C,MATCH(1,INDEX((PackRates!$A$1:$A$500=G238)*(PackRates!$B$1:$B$500=H238),0),0)),""))</f>
        <v/>
      </c>
      <c r="K238" s="38">
        <f>IF(OR(I238="",J238=""),"",IFERROR(I238*J238*INDEX(Products!$K:$K,MATCH(G238,Products!$A:$A,0)),""))</f>
        <v/>
      </c>
      <c r="L238" s="38">
        <f>IF(A238="","",IF(A238=A237,M237+1,1))</f>
        <v/>
      </c>
      <c r="M238" s="38">
        <f>IF(OR(L238="",I238=""),"",L238+I238-1)</f>
        <v/>
      </c>
      <c r="N238" s="38">
        <f>IF(A238="","",SUMIF($A$2:$A$500,A238,$I$2:$I$500))</f>
        <v/>
      </c>
    </row>
    <row r="239" ht="15" customHeight="1" s="22">
      <c r="J239" s="38">
        <f>IF(G239="","",IFERROR(INDEX(PackRates!$C:$C,MATCH(1,INDEX((PackRates!$A$1:$A$500=G239)*(PackRates!$B$1:$B$500=H239),0),0)),""))</f>
        <v/>
      </c>
      <c r="K239" s="38">
        <f>IF(OR(I239="",J239=""),"",IFERROR(I239*J239*INDEX(Products!$K:$K,MATCH(G239,Products!$A:$A,0)),""))</f>
        <v/>
      </c>
      <c r="L239" s="38">
        <f>IF(A239="","",IF(A239=A238,M238+1,1))</f>
        <v/>
      </c>
      <c r="M239" s="38">
        <f>IF(OR(L239="",I239=""),"",L239+I239-1)</f>
        <v/>
      </c>
      <c r="N239" s="38">
        <f>IF(A239="","",SUMIF($A$2:$A$500,A239,$I$2:$I$500))</f>
        <v/>
      </c>
    </row>
    <row r="240" ht="15" customHeight="1" s="22">
      <c r="J240" s="38">
        <f>IF(G240="","",IFERROR(INDEX(PackRates!$C:$C,MATCH(1,INDEX((PackRates!$A$1:$A$500=G240)*(PackRates!$B$1:$B$500=H240),0),0)),""))</f>
        <v/>
      </c>
      <c r="K240" s="38">
        <f>IF(OR(I240="",J240=""),"",IFERROR(I240*J240*INDEX(Products!$K:$K,MATCH(G240,Products!$A:$A,0)),""))</f>
        <v/>
      </c>
      <c r="L240" s="38">
        <f>IF(A240="","",IF(A240=A239,M239+1,1))</f>
        <v/>
      </c>
      <c r="M240" s="38">
        <f>IF(OR(L240="",I240=""),"",L240+I240-1)</f>
        <v/>
      </c>
      <c r="N240" s="38">
        <f>IF(A240="","",SUMIF($A$2:$A$500,A240,$I$2:$I$500))</f>
        <v/>
      </c>
    </row>
    <row r="241" ht="15" customHeight="1" s="22">
      <c r="J241" s="38">
        <f>IF(G241="","",IFERROR(INDEX(PackRates!$C:$C,MATCH(1,INDEX((PackRates!$A$1:$A$500=G241)*(PackRates!$B$1:$B$500=H241),0),0)),""))</f>
        <v/>
      </c>
      <c r="K241" s="38">
        <f>IF(OR(I241="",J241=""),"",IFERROR(I241*J241*INDEX(Products!$K:$K,MATCH(G241,Products!$A:$A,0)),""))</f>
        <v/>
      </c>
      <c r="L241" s="38">
        <f>IF(A241="","",IF(A241=A240,M240+1,1))</f>
        <v/>
      </c>
      <c r="M241" s="38">
        <f>IF(OR(L241="",I241=""),"",L241+I241-1)</f>
        <v/>
      </c>
      <c r="N241" s="38">
        <f>IF(A241="","",SUMIF($A$2:$A$500,A241,$I$2:$I$500))</f>
        <v/>
      </c>
    </row>
    <row r="242" ht="15" customHeight="1" s="22">
      <c r="J242" s="38">
        <f>IF(G242="","",IFERROR(INDEX(PackRates!$C:$C,MATCH(1,INDEX((PackRates!$A$1:$A$500=G242)*(PackRates!$B$1:$B$500=H242),0),0)),""))</f>
        <v/>
      </c>
      <c r="K242" s="38">
        <f>IF(OR(I242="",J242=""),"",IFERROR(I242*J242*INDEX(Products!$K:$K,MATCH(G242,Products!$A:$A,0)),""))</f>
        <v/>
      </c>
      <c r="L242" s="38">
        <f>IF(A242="","",IF(A242=A241,M241+1,1))</f>
        <v/>
      </c>
      <c r="M242" s="38">
        <f>IF(OR(L242="",I242=""),"",L242+I242-1)</f>
        <v/>
      </c>
      <c r="N242" s="38">
        <f>IF(A242="","",SUMIF($A$2:$A$500,A242,$I$2:$I$500))</f>
        <v/>
      </c>
    </row>
    <row r="243" ht="15" customHeight="1" s="22">
      <c r="J243" s="38">
        <f>IF(G243="","",IFERROR(INDEX(PackRates!$C:$C,MATCH(1,INDEX((PackRates!$A$1:$A$500=G243)*(PackRates!$B$1:$B$500=H243),0),0)),""))</f>
        <v/>
      </c>
      <c r="K243" s="38">
        <f>IF(OR(I243="",J243=""),"",IFERROR(I243*J243*INDEX(Products!$K:$K,MATCH(G243,Products!$A:$A,0)),""))</f>
        <v/>
      </c>
      <c r="L243" s="38">
        <f>IF(A243="","",IF(A243=A242,M242+1,1))</f>
        <v/>
      </c>
      <c r="M243" s="38">
        <f>IF(OR(L243="",I243=""),"",L243+I243-1)</f>
        <v/>
      </c>
      <c r="N243" s="38">
        <f>IF(A243="","",SUMIF($A$2:$A$500,A243,$I$2:$I$500))</f>
        <v/>
      </c>
    </row>
    <row r="244" ht="15" customHeight="1" s="22">
      <c r="J244" s="38">
        <f>IF(G244="","",IFERROR(INDEX(PackRates!$C:$C,MATCH(1,INDEX((PackRates!$A$1:$A$500=G244)*(PackRates!$B$1:$B$500=H244),0),0)),""))</f>
        <v/>
      </c>
      <c r="K244" s="38">
        <f>IF(OR(I244="",J244=""),"",IFERROR(I244*J244*INDEX(Products!$K:$K,MATCH(G244,Products!$A:$A,0)),""))</f>
        <v/>
      </c>
      <c r="L244" s="38">
        <f>IF(A244="","",IF(A244=A243,M243+1,1))</f>
        <v/>
      </c>
      <c r="M244" s="38">
        <f>IF(OR(L244="",I244=""),"",L244+I244-1)</f>
        <v/>
      </c>
      <c r="N244" s="38">
        <f>IF(A244="","",SUMIF($A$2:$A$500,A244,$I$2:$I$500))</f>
        <v/>
      </c>
    </row>
    <row r="245" ht="15" customHeight="1" s="22">
      <c r="J245" s="38">
        <f>IF(G245="","",IFERROR(INDEX(PackRates!$C:$C,MATCH(1,INDEX((PackRates!$A$1:$A$500=G245)*(PackRates!$B$1:$B$500=H245),0),0)),""))</f>
        <v/>
      </c>
      <c r="K245" s="38">
        <f>IF(OR(I245="",J245=""),"",IFERROR(I245*J245*INDEX(Products!$K:$K,MATCH(G245,Products!$A:$A,0)),""))</f>
        <v/>
      </c>
      <c r="L245" s="38">
        <f>IF(A245="","",IF(A245=A244,M244+1,1))</f>
        <v/>
      </c>
      <c r="M245" s="38">
        <f>IF(OR(L245="",I245=""),"",L245+I245-1)</f>
        <v/>
      </c>
      <c r="N245" s="38">
        <f>IF(A245="","",SUMIF($A$2:$A$500,A245,$I$2:$I$500))</f>
        <v/>
      </c>
    </row>
    <row r="246" ht="15" customHeight="1" s="22">
      <c r="J246" s="38">
        <f>IF(G246="","",IFERROR(INDEX(PackRates!$C:$C,MATCH(1,INDEX((PackRates!$A$1:$A$500=G246)*(PackRates!$B$1:$B$500=H246),0),0)),""))</f>
        <v/>
      </c>
      <c r="K246" s="38">
        <f>IF(OR(I246="",J246=""),"",IFERROR(I246*J246*INDEX(Products!$K:$K,MATCH(G246,Products!$A:$A,0)),""))</f>
        <v/>
      </c>
      <c r="L246" s="38">
        <f>IF(A246="","",IF(A246=A245,M245+1,1))</f>
        <v/>
      </c>
      <c r="M246" s="38">
        <f>IF(OR(L246="",I246=""),"",L246+I246-1)</f>
        <v/>
      </c>
      <c r="N246" s="38">
        <f>IF(A246="","",SUMIF($A$2:$A$500,A246,$I$2:$I$500))</f>
        <v/>
      </c>
    </row>
    <row r="247" ht="15" customHeight="1" s="22">
      <c r="J247" s="38">
        <f>IF(G247="","",IFERROR(INDEX(PackRates!$C:$C,MATCH(1,INDEX((PackRates!$A$1:$A$500=G247)*(PackRates!$B$1:$B$500=H247),0),0)),""))</f>
        <v/>
      </c>
      <c r="K247" s="38">
        <f>IF(OR(I247="",J247=""),"",IFERROR(I247*J247*INDEX(Products!$K:$K,MATCH(G247,Products!$A:$A,0)),""))</f>
        <v/>
      </c>
      <c r="L247" s="38">
        <f>IF(A247="","",IF(A247=A246,M246+1,1))</f>
        <v/>
      </c>
      <c r="M247" s="38">
        <f>IF(OR(L247="",I247=""),"",L247+I247-1)</f>
        <v/>
      </c>
      <c r="N247" s="38">
        <f>IF(A247="","",SUMIF($A$2:$A$500,A247,$I$2:$I$500))</f>
        <v/>
      </c>
    </row>
    <row r="248" ht="15" customHeight="1" s="22">
      <c r="J248" s="38">
        <f>IF(G248="","",IFERROR(INDEX(PackRates!$C:$C,MATCH(1,INDEX((PackRates!$A$1:$A$500=G248)*(PackRates!$B$1:$B$500=H248),0),0)),""))</f>
        <v/>
      </c>
      <c r="K248" s="38">
        <f>IF(OR(I248="",J248=""),"",IFERROR(I248*J248*INDEX(Products!$K:$K,MATCH(G248,Products!$A:$A,0)),""))</f>
        <v/>
      </c>
      <c r="L248" s="38">
        <f>IF(A248="","",IF(A248=A247,M247+1,1))</f>
        <v/>
      </c>
      <c r="M248" s="38">
        <f>IF(OR(L248="",I248=""),"",L248+I248-1)</f>
        <v/>
      </c>
      <c r="N248" s="38">
        <f>IF(A248="","",SUMIF($A$2:$A$500,A248,$I$2:$I$500))</f>
        <v/>
      </c>
    </row>
    <row r="249" ht="15" customHeight="1" s="22">
      <c r="J249" s="38">
        <f>IF(G249="","",IFERROR(INDEX(PackRates!$C:$C,MATCH(1,INDEX((PackRates!$A$1:$A$500=G249)*(PackRates!$B$1:$B$500=H249),0),0)),""))</f>
        <v/>
      </c>
      <c r="K249" s="38">
        <f>IF(OR(I249="",J249=""),"",IFERROR(I249*J249*INDEX(Products!$K:$K,MATCH(G249,Products!$A:$A,0)),""))</f>
        <v/>
      </c>
      <c r="L249" s="38">
        <f>IF(A249="","",IF(A249=A248,M248+1,1))</f>
        <v/>
      </c>
      <c r="M249" s="38">
        <f>IF(OR(L249="",I249=""),"",L249+I249-1)</f>
        <v/>
      </c>
      <c r="N249" s="38">
        <f>IF(A249="","",SUMIF($A$2:$A$500,A249,$I$2:$I$500))</f>
        <v/>
      </c>
    </row>
    <row r="250" ht="15" customHeight="1" s="22">
      <c r="J250" s="38">
        <f>IF(G250="","",IFERROR(INDEX(PackRates!$C:$C,MATCH(1,INDEX((PackRates!$A$1:$A$500=G250)*(PackRates!$B$1:$B$500=H250),0),0)),""))</f>
        <v/>
      </c>
      <c r="K250" s="38">
        <f>IF(OR(I250="",J250=""),"",IFERROR(I250*J250*INDEX(Products!$K:$K,MATCH(G250,Products!$A:$A,0)),""))</f>
        <v/>
      </c>
      <c r="L250" s="38">
        <f>IF(A250="","",IF(A250=A249,M249+1,1))</f>
        <v/>
      </c>
      <c r="M250" s="38">
        <f>IF(OR(L250="",I250=""),"",L250+I250-1)</f>
        <v/>
      </c>
      <c r="N250" s="38">
        <f>IF(A250="","",SUMIF($A$2:$A$500,A250,$I$2:$I$500))</f>
        <v/>
      </c>
    </row>
    <row r="251" ht="15" customHeight="1" s="22">
      <c r="J251" s="38">
        <f>IF(G251="","",IFERROR(INDEX(PackRates!$C:$C,MATCH(1,INDEX((PackRates!$A$1:$A$500=G251)*(PackRates!$B$1:$B$500=H251),0),0)),""))</f>
        <v/>
      </c>
      <c r="K251" s="38">
        <f>IF(OR(I251="",J251=""),"",IFERROR(I251*J251*INDEX(Products!$K:$K,MATCH(G251,Products!$A:$A,0)),""))</f>
        <v/>
      </c>
      <c r="L251" s="38">
        <f>IF(A251="","",IF(A251=A250,M250+1,1))</f>
        <v/>
      </c>
      <c r="M251" s="38">
        <f>IF(OR(L251="",I251=""),"",L251+I251-1)</f>
        <v/>
      </c>
      <c r="N251" s="38">
        <f>IF(A251="","",SUMIF($A$2:$A$500,A251,$I$2:$I$500))</f>
        <v/>
      </c>
    </row>
    <row r="252" ht="15" customHeight="1" s="22">
      <c r="J252" s="38">
        <f>IF(G252="","",IFERROR(INDEX(PackRates!$C:$C,MATCH(1,INDEX((PackRates!$A$1:$A$500=G252)*(PackRates!$B$1:$B$500=H252),0),0)),""))</f>
        <v/>
      </c>
      <c r="K252" s="38">
        <f>IF(OR(I252="",J252=""),"",IFERROR(I252*J252*INDEX(Products!$K:$K,MATCH(G252,Products!$A:$A,0)),""))</f>
        <v/>
      </c>
      <c r="L252" s="38">
        <f>IF(A252="","",IF(A252=A251,M251+1,1))</f>
        <v/>
      </c>
      <c r="M252" s="38">
        <f>IF(OR(L252="",I252=""),"",L252+I252-1)</f>
        <v/>
      </c>
      <c r="N252" s="38">
        <f>IF(A252="","",SUMIF($A$2:$A$500,A252,$I$2:$I$500))</f>
        <v/>
      </c>
    </row>
    <row r="253" ht="15" customHeight="1" s="22">
      <c r="J253" s="38">
        <f>IF(G253="","",IFERROR(INDEX(PackRates!$C:$C,MATCH(1,INDEX((PackRates!$A$1:$A$500=G253)*(PackRates!$B$1:$B$500=H253),0),0)),""))</f>
        <v/>
      </c>
      <c r="K253" s="38">
        <f>IF(OR(I253="",J253=""),"",IFERROR(I253*J253*INDEX(Products!$K:$K,MATCH(G253,Products!$A:$A,0)),""))</f>
        <v/>
      </c>
      <c r="L253" s="38">
        <f>IF(A253="","",IF(A253=A252,M252+1,1))</f>
        <v/>
      </c>
      <c r="M253" s="38">
        <f>IF(OR(L253="",I253=""),"",L253+I253-1)</f>
        <v/>
      </c>
      <c r="N253" s="38">
        <f>IF(A253="","",SUMIF($A$2:$A$500,A253,$I$2:$I$500))</f>
        <v/>
      </c>
    </row>
    <row r="254" ht="15" customHeight="1" s="22">
      <c r="J254" s="38">
        <f>IF(G254="","",IFERROR(INDEX(PackRates!$C:$C,MATCH(1,INDEX((PackRates!$A$1:$A$500=G254)*(PackRates!$B$1:$B$500=H254),0),0)),""))</f>
        <v/>
      </c>
      <c r="K254" s="38">
        <f>IF(OR(I254="",J254=""),"",IFERROR(I254*J254*INDEX(Products!$K:$K,MATCH(G254,Products!$A:$A,0)),""))</f>
        <v/>
      </c>
      <c r="L254" s="38">
        <f>IF(A254="","",IF(A254=A253,M253+1,1))</f>
        <v/>
      </c>
      <c r="M254" s="38">
        <f>IF(OR(L254="",I254=""),"",L254+I254-1)</f>
        <v/>
      </c>
      <c r="N254" s="38">
        <f>IF(A254="","",SUMIF($A$2:$A$500,A254,$I$2:$I$500))</f>
        <v/>
      </c>
    </row>
    <row r="255" ht="15" customHeight="1" s="22">
      <c r="J255" s="38">
        <f>IF(G255="","",IFERROR(INDEX(PackRates!$C:$C,MATCH(1,INDEX((PackRates!$A$1:$A$500=G255)*(PackRates!$B$1:$B$500=H255),0),0)),""))</f>
        <v/>
      </c>
      <c r="K255" s="38">
        <f>IF(OR(I255="",J255=""),"",IFERROR(I255*J255*INDEX(Products!$K:$K,MATCH(G255,Products!$A:$A,0)),""))</f>
        <v/>
      </c>
      <c r="L255" s="38">
        <f>IF(A255="","",IF(A255=A254,M254+1,1))</f>
        <v/>
      </c>
      <c r="M255" s="38">
        <f>IF(OR(L255="",I255=""),"",L255+I255-1)</f>
        <v/>
      </c>
      <c r="N255" s="38">
        <f>IF(A255="","",SUMIF($A$2:$A$500,A255,$I$2:$I$500))</f>
        <v/>
      </c>
    </row>
    <row r="256" ht="15" customHeight="1" s="22">
      <c r="J256" s="38">
        <f>IF(G256="","",IFERROR(INDEX(PackRates!$C:$C,MATCH(1,INDEX((PackRates!$A$1:$A$500=G256)*(PackRates!$B$1:$B$500=H256),0),0)),""))</f>
        <v/>
      </c>
      <c r="K256" s="38">
        <f>IF(OR(I256="",J256=""),"",IFERROR(I256*J256*INDEX(Products!$K:$K,MATCH(G256,Products!$A:$A,0)),""))</f>
        <v/>
      </c>
      <c r="L256" s="38">
        <f>IF(A256="","",IF(A256=A255,M255+1,1))</f>
        <v/>
      </c>
      <c r="M256" s="38">
        <f>IF(OR(L256="",I256=""),"",L256+I256-1)</f>
        <v/>
      </c>
      <c r="N256" s="38">
        <f>IF(A256="","",SUMIF($A$2:$A$500,A256,$I$2:$I$500))</f>
        <v/>
      </c>
    </row>
    <row r="257" ht="15" customHeight="1" s="22">
      <c r="J257" s="38">
        <f>IF(G257="","",IFERROR(INDEX(PackRates!$C:$C,MATCH(1,INDEX((PackRates!$A$1:$A$500=G257)*(PackRates!$B$1:$B$500=H257),0),0)),""))</f>
        <v/>
      </c>
      <c r="K257" s="38">
        <f>IF(OR(I257="",J257=""),"",IFERROR(I257*J257*INDEX(Products!$K:$K,MATCH(G257,Products!$A:$A,0)),""))</f>
        <v/>
      </c>
      <c r="L257" s="38">
        <f>IF(A257="","",IF(A257=A256,M256+1,1))</f>
        <v/>
      </c>
      <c r="M257" s="38">
        <f>IF(OR(L257="",I257=""),"",L257+I257-1)</f>
        <v/>
      </c>
      <c r="N257" s="38">
        <f>IF(A257="","",SUMIF($A$2:$A$500,A257,$I$2:$I$500))</f>
        <v/>
      </c>
    </row>
    <row r="258" ht="15" customHeight="1" s="22">
      <c r="J258" s="38">
        <f>IF(G258="","",IFERROR(INDEX(PackRates!$C:$C,MATCH(1,INDEX((PackRates!$A$1:$A$500=G258)*(PackRates!$B$1:$B$500=H258),0),0)),""))</f>
        <v/>
      </c>
      <c r="K258" s="38">
        <f>IF(OR(I258="",J258=""),"",IFERROR(I258*J258*INDEX(Products!$K:$K,MATCH(G258,Products!$A:$A,0)),""))</f>
        <v/>
      </c>
      <c r="L258" s="38">
        <f>IF(A258="","",IF(A258=A257,M257+1,1))</f>
        <v/>
      </c>
      <c r="M258" s="38">
        <f>IF(OR(L258="",I258=""),"",L258+I258-1)</f>
        <v/>
      </c>
      <c r="N258" s="38">
        <f>IF(A258="","",SUMIF($A$2:$A$500,A258,$I$2:$I$500))</f>
        <v/>
      </c>
    </row>
    <row r="259" ht="15" customHeight="1" s="22">
      <c r="J259" s="38">
        <f>IF(G259="","",IFERROR(INDEX(PackRates!$C:$C,MATCH(1,INDEX((PackRates!$A$1:$A$500=G259)*(PackRates!$B$1:$B$500=H259),0),0)),""))</f>
        <v/>
      </c>
      <c r="K259" s="38">
        <f>IF(OR(I259="",J259=""),"",IFERROR(I259*J259*INDEX(Products!$K:$K,MATCH(G259,Products!$A:$A,0)),""))</f>
        <v/>
      </c>
      <c r="L259" s="38">
        <f>IF(A259="","",IF(A259=A258,M258+1,1))</f>
        <v/>
      </c>
      <c r="M259" s="38">
        <f>IF(OR(L259="",I259=""),"",L259+I259-1)</f>
        <v/>
      </c>
      <c r="N259" s="38">
        <f>IF(A259="","",SUMIF($A$2:$A$500,A259,$I$2:$I$500))</f>
        <v/>
      </c>
    </row>
    <row r="260" ht="15" customHeight="1" s="22">
      <c r="J260" s="38">
        <f>IF(G260="","",IFERROR(INDEX(PackRates!$C:$C,MATCH(1,INDEX((PackRates!$A$1:$A$500=G260)*(PackRates!$B$1:$B$500=H260),0),0)),""))</f>
        <v/>
      </c>
      <c r="K260" s="38">
        <f>IF(OR(I260="",J260=""),"",IFERROR(I260*J260*INDEX(Products!$K:$K,MATCH(G260,Products!$A:$A,0)),""))</f>
        <v/>
      </c>
      <c r="L260" s="38">
        <f>IF(A260="","",IF(A260=A259,M259+1,1))</f>
        <v/>
      </c>
      <c r="M260" s="38">
        <f>IF(OR(L260="",I260=""),"",L260+I260-1)</f>
        <v/>
      </c>
      <c r="N260" s="38">
        <f>IF(A260="","",SUMIF($A$2:$A$500,A260,$I$2:$I$500))</f>
        <v/>
      </c>
    </row>
    <row r="261" ht="15" customHeight="1" s="22">
      <c r="J261" s="38">
        <f>IF(G261="","",IFERROR(INDEX(PackRates!$C:$C,MATCH(1,INDEX((PackRates!$A$1:$A$500=G261)*(PackRates!$B$1:$B$500=H261),0),0)),""))</f>
        <v/>
      </c>
      <c r="K261" s="38">
        <f>IF(OR(I261="",J261=""),"",IFERROR(I261*J261*INDEX(Products!$K:$K,MATCH(G261,Products!$A:$A,0)),""))</f>
        <v/>
      </c>
      <c r="L261" s="38">
        <f>IF(A261="","",IF(A261=A260,M260+1,1))</f>
        <v/>
      </c>
      <c r="M261" s="38">
        <f>IF(OR(L261="",I261=""),"",L261+I261-1)</f>
        <v/>
      </c>
      <c r="N261" s="38">
        <f>IF(A261="","",SUMIF($A$2:$A$500,A261,$I$2:$I$500))</f>
        <v/>
      </c>
    </row>
    <row r="262" ht="15" customHeight="1" s="22">
      <c r="J262" s="38">
        <f>IF(G262="","",IFERROR(INDEX(PackRates!$C:$C,MATCH(1,INDEX((PackRates!$A$1:$A$500=G262)*(PackRates!$B$1:$B$500=H262),0),0)),""))</f>
        <v/>
      </c>
      <c r="K262" s="38">
        <f>IF(OR(I262="",J262=""),"",IFERROR(I262*J262*INDEX(Products!$K:$K,MATCH(G262,Products!$A:$A,0)),""))</f>
        <v/>
      </c>
      <c r="L262" s="38">
        <f>IF(A262="","",IF(A262=A261,M261+1,1))</f>
        <v/>
      </c>
      <c r="M262" s="38">
        <f>IF(OR(L262="",I262=""),"",L262+I262-1)</f>
        <v/>
      </c>
      <c r="N262" s="38">
        <f>IF(A262="","",SUMIF($A$2:$A$500,A262,$I$2:$I$500))</f>
        <v/>
      </c>
    </row>
    <row r="263" ht="15" customHeight="1" s="22">
      <c r="J263" s="38">
        <f>IF(G263="","",IFERROR(INDEX(PackRates!$C:$C,MATCH(1,INDEX((PackRates!$A$1:$A$500=G263)*(PackRates!$B$1:$B$500=H263),0),0)),""))</f>
        <v/>
      </c>
      <c r="K263" s="38">
        <f>IF(OR(I263="",J263=""),"",IFERROR(I263*J263*INDEX(Products!$K:$K,MATCH(G263,Products!$A:$A,0)),""))</f>
        <v/>
      </c>
      <c r="L263" s="38">
        <f>IF(A263="","",IF(A263=A262,M262+1,1))</f>
        <v/>
      </c>
      <c r="M263" s="38">
        <f>IF(OR(L263="",I263=""),"",L263+I263-1)</f>
        <v/>
      </c>
      <c r="N263" s="38">
        <f>IF(A263="","",SUMIF($A$2:$A$500,A263,$I$2:$I$500))</f>
        <v/>
      </c>
    </row>
    <row r="264" ht="15" customHeight="1" s="22">
      <c r="J264" s="38">
        <f>IF(G264="","",IFERROR(INDEX(PackRates!$C:$C,MATCH(1,INDEX((PackRates!$A$1:$A$500=G264)*(PackRates!$B$1:$B$500=H264),0),0)),""))</f>
        <v/>
      </c>
      <c r="K264" s="38">
        <f>IF(OR(I264="",J264=""),"",IFERROR(I264*J264*INDEX(Products!$K:$K,MATCH(G264,Products!$A:$A,0)),""))</f>
        <v/>
      </c>
      <c r="L264" s="38">
        <f>IF(A264="","",IF(A264=A263,M263+1,1))</f>
        <v/>
      </c>
      <c r="M264" s="38">
        <f>IF(OR(L264="",I264=""),"",L264+I264-1)</f>
        <v/>
      </c>
      <c r="N264" s="38">
        <f>IF(A264="","",SUMIF($A$2:$A$500,A264,$I$2:$I$500))</f>
        <v/>
      </c>
    </row>
    <row r="265" ht="15" customHeight="1" s="22">
      <c r="J265" s="38">
        <f>IF(G265="","",IFERROR(INDEX(PackRates!$C:$C,MATCH(1,INDEX((PackRates!$A$1:$A$500=G265)*(PackRates!$B$1:$B$500=H265),0),0)),""))</f>
        <v/>
      </c>
      <c r="K265" s="38">
        <f>IF(OR(I265="",J265=""),"",IFERROR(I265*J265*INDEX(Products!$K:$K,MATCH(G265,Products!$A:$A,0)),""))</f>
        <v/>
      </c>
      <c r="L265" s="38">
        <f>IF(A265="","",IF(A265=A264,M264+1,1))</f>
        <v/>
      </c>
      <c r="M265" s="38">
        <f>IF(OR(L265="",I265=""),"",L265+I265-1)</f>
        <v/>
      </c>
      <c r="N265" s="38">
        <f>IF(A265="","",SUMIF($A$2:$A$500,A265,$I$2:$I$500))</f>
        <v/>
      </c>
    </row>
    <row r="266" ht="15" customHeight="1" s="22">
      <c r="J266" s="38">
        <f>IF(G266="","",IFERROR(INDEX(PackRates!$C:$C,MATCH(1,INDEX((PackRates!$A$1:$A$500=G266)*(PackRates!$B$1:$B$500=H266),0),0)),""))</f>
        <v/>
      </c>
      <c r="K266" s="38">
        <f>IF(OR(I266="",J266=""),"",IFERROR(I266*J266*INDEX(Products!$K:$K,MATCH(G266,Products!$A:$A,0)),""))</f>
        <v/>
      </c>
      <c r="L266" s="38">
        <f>IF(A266="","",IF(A266=A265,M265+1,1))</f>
        <v/>
      </c>
      <c r="M266" s="38">
        <f>IF(OR(L266="",I266=""),"",L266+I266-1)</f>
        <v/>
      </c>
      <c r="N266" s="38">
        <f>IF(A266="","",SUMIF($A$2:$A$500,A266,$I$2:$I$500))</f>
        <v/>
      </c>
    </row>
    <row r="267" ht="15" customHeight="1" s="22">
      <c r="J267" s="38">
        <f>IF(G267="","",IFERROR(INDEX(PackRates!$C:$C,MATCH(1,INDEX((PackRates!$A$1:$A$500=G267)*(PackRates!$B$1:$B$500=H267),0),0)),""))</f>
        <v/>
      </c>
      <c r="K267" s="38">
        <f>IF(OR(I267="",J267=""),"",IFERROR(I267*J267*INDEX(Products!$K:$K,MATCH(G267,Products!$A:$A,0)),""))</f>
        <v/>
      </c>
      <c r="L267" s="38">
        <f>IF(A267="","",IF(A267=A266,M266+1,1))</f>
        <v/>
      </c>
      <c r="M267" s="38">
        <f>IF(OR(L267="",I267=""),"",L267+I267-1)</f>
        <v/>
      </c>
      <c r="N267" s="38">
        <f>IF(A267="","",SUMIF($A$2:$A$500,A267,$I$2:$I$500))</f>
        <v/>
      </c>
    </row>
    <row r="268" ht="15" customHeight="1" s="22">
      <c r="J268" s="38">
        <f>IF(G268="","",IFERROR(INDEX(PackRates!$C:$C,MATCH(1,INDEX((PackRates!$A$1:$A$500=G268)*(PackRates!$B$1:$B$500=H268),0),0)),""))</f>
        <v/>
      </c>
      <c r="K268" s="38">
        <f>IF(OR(I268="",J268=""),"",IFERROR(I268*J268*INDEX(Products!$K:$K,MATCH(G268,Products!$A:$A,0)),""))</f>
        <v/>
      </c>
      <c r="L268" s="38">
        <f>IF(A268="","",IF(A268=A267,M267+1,1))</f>
        <v/>
      </c>
      <c r="M268" s="38">
        <f>IF(OR(L268="",I268=""),"",L268+I268-1)</f>
        <v/>
      </c>
      <c r="N268" s="38">
        <f>IF(A268="","",SUMIF($A$2:$A$500,A268,$I$2:$I$500))</f>
        <v/>
      </c>
    </row>
    <row r="269" ht="15" customHeight="1" s="22">
      <c r="J269" s="38">
        <f>IF(G269="","",IFERROR(INDEX(PackRates!$C:$C,MATCH(1,INDEX((PackRates!$A$1:$A$500=G269)*(PackRates!$B$1:$B$500=H269),0),0)),""))</f>
        <v/>
      </c>
      <c r="K269" s="38">
        <f>IF(OR(I269="",J269=""),"",IFERROR(I269*J269*INDEX(Products!$K:$K,MATCH(G269,Products!$A:$A,0)),""))</f>
        <v/>
      </c>
      <c r="L269" s="38">
        <f>IF(A269="","",IF(A269=A268,M268+1,1))</f>
        <v/>
      </c>
      <c r="M269" s="38">
        <f>IF(OR(L269="",I269=""),"",L269+I269-1)</f>
        <v/>
      </c>
      <c r="N269" s="38">
        <f>IF(A269="","",SUMIF($A$2:$A$500,A269,$I$2:$I$500))</f>
        <v/>
      </c>
    </row>
    <row r="270" ht="15" customHeight="1" s="22">
      <c r="J270" s="38">
        <f>IF(G270="","",IFERROR(INDEX(PackRates!$C:$C,MATCH(1,INDEX((PackRates!$A$1:$A$500=G270)*(PackRates!$B$1:$B$500=H270),0),0)),""))</f>
        <v/>
      </c>
      <c r="K270" s="38">
        <f>IF(OR(I270="",J270=""),"",IFERROR(I270*J270*INDEX(Products!$K:$K,MATCH(G270,Products!$A:$A,0)),""))</f>
        <v/>
      </c>
      <c r="L270" s="38">
        <f>IF(A270="","",IF(A270=A269,M269+1,1))</f>
        <v/>
      </c>
      <c r="M270" s="38">
        <f>IF(OR(L270="",I270=""),"",L270+I270-1)</f>
        <v/>
      </c>
      <c r="N270" s="38">
        <f>IF(A270="","",SUMIF($A$2:$A$500,A270,$I$2:$I$500))</f>
        <v/>
      </c>
    </row>
    <row r="271" ht="15" customHeight="1" s="22">
      <c r="J271" s="38">
        <f>IF(G271="","",IFERROR(INDEX(PackRates!$C:$C,MATCH(1,INDEX((PackRates!$A$1:$A$500=G271)*(PackRates!$B$1:$B$500=H271),0),0)),""))</f>
        <v/>
      </c>
      <c r="K271" s="38">
        <f>IF(OR(I271="",J271=""),"",IFERROR(I271*J271*INDEX(Products!$K:$K,MATCH(G271,Products!$A:$A,0)),""))</f>
        <v/>
      </c>
      <c r="L271" s="38">
        <f>IF(A271="","",IF(A271=A270,M270+1,1))</f>
        <v/>
      </c>
      <c r="M271" s="38">
        <f>IF(OR(L271="",I271=""),"",L271+I271-1)</f>
        <v/>
      </c>
      <c r="N271" s="38">
        <f>IF(A271="","",SUMIF($A$2:$A$500,A271,$I$2:$I$500))</f>
        <v/>
      </c>
    </row>
    <row r="272" ht="15" customHeight="1" s="22">
      <c r="J272" s="38">
        <f>IF(G272="","",IFERROR(INDEX(PackRates!$C:$C,MATCH(1,INDEX((PackRates!$A$1:$A$500=G272)*(PackRates!$B$1:$B$500=H272),0),0)),""))</f>
        <v/>
      </c>
      <c r="K272" s="38">
        <f>IF(OR(I272="",J272=""),"",IFERROR(I272*J272*INDEX(Products!$K:$K,MATCH(G272,Products!$A:$A,0)),""))</f>
        <v/>
      </c>
      <c r="L272" s="38">
        <f>IF(A272="","",IF(A272=A271,M271+1,1))</f>
        <v/>
      </c>
      <c r="M272" s="38">
        <f>IF(OR(L272="",I272=""),"",L272+I272-1)</f>
        <v/>
      </c>
      <c r="N272" s="38">
        <f>IF(A272="","",SUMIF($A$2:$A$500,A272,$I$2:$I$500))</f>
        <v/>
      </c>
    </row>
    <row r="273" ht="15" customHeight="1" s="22">
      <c r="J273" s="38">
        <f>IF(G273="","",IFERROR(INDEX(PackRates!$C:$C,MATCH(1,INDEX((PackRates!$A$1:$A$500=G273)*(PackRates!$B$1:$B$500=H273),0),0)),""))</f>
        <v/>
      </c>
      <c r="K273" s="38">
        <f>IF(OR(I273="",J273=""),"",IFERROR(I273*J273*INDEX(Products!$K:$K,MATCH(G273,Products!$A:$A,0)),""))</f>
        <v/>
      </c>
      <c r="L273" s="38">
        <f>IF(A273="","",IF(A273=A272,M272+1,1))</f>
        <v/>
      </c>
      <c r="M273" s="38">
        <f>IF(OR(L273="",I273=""),"",L273+I273-1)</f>
        <v/>
      </c>
      <c r="N273" s="38">
        <f>IF(A273="","",SUMIF($A$2:$A$500,A273,$I$2:$I$500))</f>
        <v/>
      </c>
    </row>
    <row r="274" ht="15" customHeight="1" s="22">
      <c r="J274" s="38">
        <f>IF(G274="","",IFERROR(INDEX(PackRates!$C:$C,MATCH(1,INDEX((PackRates!$A$1:$A$500=G274)*(PackRates!$B$1:$B$500=H274),0),0)),""))</f>
        <v/>
      </c>
      <c r="K274" s="38">
        <f>IF(OR(I274="",J274=""),"",IFERROR(I274*J274*INDEX(Products!$K:$K,MATCH(G274,Products!$A:$A,0)),""))</f>
        <v/>
      </c>
      <c r="L274" s="38">
        <f>IF(A274="","",IF(A274=A273,M273+1,1))</f>
        <v/>
      </c>
      <c r="M274" s="38">
        <f>IF(OR(L274="",I274=""),"",L274+I274-1)</f>
        <v/>
      </c>
      <c r="N274" s="38">
        <f>IF(A274="","",SUMIF($A$2:$A$500,A274,$I$2:$I$500))</f>
        <v/>
      </c>
    </row>
    <row r="275" ht="15" customHeight="1" s="22">
      <c r="J275" s="38">
        <f>IF(G275="","",IFERROR(INDEX(PackRates!$C:$C,MATCH(1,INDEX((PackRates!$A$1:$A$500=G275)*(PackRates!$B$1:$B$500=H275),0),0)),""))</f>
        <v/>
      </c>
      <c r="K275" s="38">
        <f>IF(OR(I275="",J275=""),"",IFERROR(I275*J275*INDEX(Products!$K:$K,MATCH(G275,Products!$A:$A,0)),""))</f>
        <v/>
      </c>
      <c r="L275" s="38">
        <f>IF(A275="","",IF(A275=A274,M274+1,1))</f>
        <v/>
      </c>
      <c r="M275" s="38">
        <f>IF(OR(L275="",I275=""),"",L275+I275-1)</f>
        <v/>
      </c>
      <c r="N275" s="38">
        <f>IF(A275="","",SUMIF($A$2:$A$500,A275,$I$2:$I$500))</f>
        <v/>
      </c>
    </row>
    <row r="276" ht="15" customHeight="1" s="22">
      <c r="J276" s="38">
        <f>IF(G276="","",IFERROR(INDEX(PackRates!$C:$C,MATCH(1,INDEX((PackRates!$A$1:$A$500=G276)*(PackRates!$B$1:$B$500=H276),0),0)),""))</f>
        <v/>
      </c>
      <c r="K276" s="38">
        <f>IF(OR(I276="",J276=""),"",IFERROR(I276*J276*INDEX(Products!$K:$K,MATCH(G276,Products!$A:$A,0)),""))</f>
        <v/>
      </c>
      <c r="L276" s="38">
        <f>IF(A276="","",IF(A276=A275,M275+1,1))</f>
        <v/>
      </c>
      <c r="M276" s="38">
        <f>IF(OR(L276="",I276=""),"",L276+I276-1)</f>
        <v/>
      </c>
      <c r="N276" s="38">
        <f>IF(A276="","",SUMIF($A$2:$A$500,A276,$I$2:$I$500))</f>
        <v/>
      </c>
    </row>
    <row r="277" ht="15" customHeight="1" s="22">
      <c r="J277" s="38">
        <f>IF(G277="","",IFERROR(INDEX(PackRates!$C:$C,MATCH(1,INDEX((PackRates!$A$1:$A$500=G277)*(PackRates!$B$1:$B$500=H277),0),0)),""))</f>
        <v/>
      </c>
      <c r="K277" s="38">
        <f>IF(OR(I277="",J277=""),"",IFERROR(I277*J277*INDEX(Products!$K:$K,MATCH(G277,Products!$A:$A,0)),""))</f>
        <v/>
      </c>
      <c r="L277" s="38">
        <f>IF(A277="","",IF(A277=A276,M276+1,1))</f>
        <v/>
      </c>
      <c r="M277" s="38">
        <f>IF(OR(L277="",I277=""),"",L277+I277-1)</f>
        <v/>
      </c>
      <c r="N277" s="38">
        <f>IF(A277="","",SUMIF($A$2:$A$500,A277,$I$2:$I$500))</f>
        <v/>
      </c>
    </row>
    <row r="278" ht="15" customHeight="1" s="22">
      <c r="J278" s="38">
        <f>IF(G278="","",IFERROR(INDEX(PackRates!$C:$C,MATCH(1,INDEX((PackRates!$A$1:$A$500=G278)*(PackRates!$B$1:$B$500=H278),0),0)),""))</f>
        <v/>
      </c>
      <c r="K278" s="38">
        <f>IF(OR(I278="",J278=""),"",IFERROR(I278*J278*INDEX(Products!$K:$K,MATCH(G278,Products!$A:$A,0)),""))</f>
        <v/>
      </c>
      <c r="L278" s="38">
        <f>IF(A278="","",IF(A278=A277,M277+1,1))</f>
        <v/>
      </c>
      <c r="M278" s="38">
        <f>IF(OR(L278="",I278=""),"",L278+I278-1)</f>
        <v/>
      </c>
      <c r="N278" s="38">
        <f>IF(A278="","",SUMIF($A$2:$A$500,A278,$I$2:$I$500))</f>
        <v/>
      </c>
    </row>
    <row r="279" ht="15" customHeight="1" s="22">
      <c r="J279" s="38">
        <f>IF(G279="","",IFERROR(INDEX(PackRates!$C:$C,MATCH(1,INDEX((PackRates!$A$1:$A$500=G279)*(PackRates!$B$1:$B$500=H279),0),0)),""))</f>
        <v/>
      </c>
      <c r="K279" s="38">
        <f>IF(OR(I279="",J279=""),"",IFERROR(I279*J279*INDEX(Products!$K:$K,MATCH(G279,Products!$A:$A,0)),""))</f>
        <v/>
      </c>
      <c r="L279" s="38">
        <f>IF(A279="","",IF(A279=A278,M278+1,1))</f>
        <v/>
      </c>
      <c r="M279" s="38">
        <f>IF(OR(L279="",I279=""),"",L279+I279-1)</f>
        <v/>
      </c>
      <c r="N279" s="38">
        <f>IF(A279="","",SUMIF($A$2:$A$500,A279,$I$2:$I$500))</f>
        <v/>
      </c>
    </row>
    <row r="280" ht="15" customHeight="1" s="22">
      <c r="J280" s="38">
        <f>IF(G280="","",IFERROR(INDEX(PackRates!$C:$C,MATCH(1,INDEX((PackRates!$A$1:$A$500=G280)*(PackRates!$B$1:$B$500=H280),0),0)),""))</f>
        <v/>
      </c>
      <c r="K280" s="38">
        <f>IF(OR(I280="",J280=""),"",IFERROR(I280*J280*INDEX(Products!$K:$K,MATCH(G280,Products!$A:$A,0)),""))</f>
        <v/>
      </c>
      <c r="L280" s="38">
        <f>IF(A280="","",IF(A280=A279,M279+1,1))</f>
        <v/>
      </c>
      <c r="M280" s="38">
        <f>IF(OR(L280="",I280=""),"",L280+I280-1)</f>
        <v/>
      </c>
      <c r="N280" s="38">
        <f>IF(A280="","",SUMIF($A$2:$A$500,A280,$I$2:$I$500))</f>
        <v/>
      </c>
    </row>
    <row r="281" ht="15" customHeight="1" s="22">
      <c r="J281" s="38">
        <f>IF(G281="","",IFERROR(INDEX(PackRates!$C:$C,MATCH(1,INDEX((PackRates!$A$1:$A$500=G281)*(PackRates!$B$1:$B$500=H281),0),0)),""))</f>
        <v/>
      </c>
      <c r="K281" s="38">
        <f>IF(OR(I281="",J281=""),"",IFERROR(I281*J281*INDEX(Products!$K:$K,MATCH(G281,Products!$A:$A,0)),""))</f>
        <v/>
      </c>
      <c r="L281" s="38">
        <f>IF(A281="","",IF(A281=A280,M280+1,1))</f>
        <v/>
      </c>
      <c r="M281" s="38">
        <f>IF(OR(L281="",I281=""),"",L281+I281-1)</f>
        <v/>
      </c>
      <c r="N281" s="38">
        <f>IF(A281="","",SUMIF($A$2:$A$500,A281,$I$2:$I$500))</f>
        <v/>
      </c>
    </row>
    <row r="282" ht="15" customHeight="1" s="22">
      <c r="J282" s="38">
        <f>IF(G282="","",IFERROR(INDEX(PackRates!$C:$C,MATCH(1,INDEX((PackRates!$A$1:$A$500=G282)*(PackRates!$B$1:$B$500=H282),0),0)),""))</f>
        <v/>
      </c>
      <c r="K282" s="38">
        <f>IF(OR(I282="",J282=""),"",IFERROR(I282*J282*INDEX(Products!$K:$K,MATCH(G282,Products!$A:$A,0)),""))</f>
        <v/>
      </c>
      <c r="L282" s="38">
        <f>IF(A282="","",IF(A282=A281,M281+1,1))</f>
        <v/>
      </c>
      <c r="M282" s="38">
        <f>IF(OR(L282="",I282=""),"",L282+I282-1)</f>
        <v/>
      </c>
      <c r="N282" s="38">
        <f>IF(A282="","",SUMIF($A$2:$A$500,A282,$I$2:$I$500))</f>
        <v/>
      </c>
    </row>
    <row r="283" ht="15" customHeight="1" s="22">
      <c r="J283" s="38">
        <f>IF(G283="","",IFERROR(INDEX(PackRates!$C:$C,MATCH(1,INDEX((PackRates!$A$1:$A$500=G283)*(PackRates!$B$1:$B$500=H283),0),0)),""))</f>
        <v/>
      </c>
      <c r="K283" s="38">
        <f>IF(OR(I283="",J283=""),"",IFERROR(I283*J283*INDEX(Products!$K:$K,MATCH(G283,Products!$A:$A,0)),""))</f>
        <v/>
      </c>
      <c r="L283" s="38">
        <f>IF(A283="","",IF(A283=A282,M282+1,1))</f>
        <v/>
      </c>
      <c r="M283" s="38">
        <f>IF(OR(L283="",I283=""),"",L283+I283-1)</f>
        <v/>
      </c>
      <c r="N283" s="38">
        <f>IF(A283="","",SUMIF($A$2:$A$500,A283,$I$2:$I$500))</f>
        <v/>
      </c>
    </row>
    <row r="284" ht="15" customHeight="1" s="22">
      <c r="J284" s="38">
        <f>IF(G284="","",IFERROR(INDEX(PackRates!$C:$C,MATCH(1,INDEX((PackRates!$A$1:$A$500=G284)*(PackRates!$B$1:$B$500=H284),0),0)),""))</f>
        <v/>
      </c>
      <c r="K284" s="38">
        <f>IF(OR(I284="",J284=""),"",IFERROR(I284*J284*INDEX(Products!$K:$K,MATCH(G284,Products!$A:$A,0)),""))</f>
        <v/>
      </c>
      <c r="L284" s="38">
        <f>IF(A284="","",IF(A284=A283,M283+1,1))</f>
        <v/>
      </c>
      <c r="M284" s="38">
        <f>IF(OR(L284="",I284=""),"",L284+I284-1)</f>
        <v/>
      </c>
      <c r="N284" s="38">
        <f>IF(A284="","",SUMIF($A$2:$A$500,A284,$I$2:$I$500))</f>
        <v/>
      </c>
    </row>
    <row r="285" ht="15" customHeight="1" s="22">
      <c r="J285" s="38">
        <f>IF(G285="","",IFERROR(INDEX(PackRates!$C:$C,MATCH(1,INDEX((PackRates!$A$1:$A$500=G285)*(PackRates!$B$1:$B$500=H285),0),0)),""))</f>
        <v/>
      </c>
      <c r="K285" s="38">
        <f>IF(OR(I285="",J285=""),"",IFERROR(I285*J285*INDEX(Products!$K:$K,MATCH(G285,Products!$A:$A,0)),""))</f>
        <v/>
      </c>
      <c r="L285" s="38">
        <f>IF(A285="","",IF(A285=A284,M284+1,1))</f>
        <v/>
      </c>
      <c r="M285" s="38">
        <f>IF(OR(L285="",I285=""),"",L285+I285-1)</f>
        <v/>
      </c>
      <c r="N285" s="38">
        <f>IF(A285="","",SUMIF($A$2:$A$500,A285,$I$2:$I$500))</f>
        <v/>
      </c>
    </row>
    <row r="286" ht="15" customHeight="1" s="22">
      <c r="J286" s="38">
        <f>IF(G286="","",IFERROR(INDEX(PackRates!$C:$C,MATCH(1,INDEX((PackRates!$A$1:$A$500=G286)*(PackRates!$B$1:$B$500=H286),0),0)),""))</f>
        <v/>
      </c>
      <c r="K286" s="38">
        <f>IF(OR(I286="",J286=""),"",IFERROR(I286*J286*INDEX(Products!$K:$K,MATCH(G286,Products!$A:$A,0)),""))</f>
        <v/>
      </c>
      <c r="L286" s="38">
        <f>IF(A286="","",IF(A286=A285,M285+1,1))</f>
        <v/>
      </c>
      <c r="M286" s="38">
        <f>IF(OR(L286="",I286=""),"",L286+I286-1)</f>
        <v/>
      </c>
      <c r="N286" s="38">
        <f>IF(A286="","",SUMIF($A$2:$A$500,A286,$I$2:$I$500))</f>
        <v/>
      </c>
    </row>
    <row r="287" ht="15" customHeight="1" s="22">
      <c r="J287" s="38">
        <f>IF(G287="","",IFERROR(INDEX(PackRates!$C:$C,MATCH(1,INDEX((PackRates!$A$1:$A$500=G287)*(PackRates!$B$1:$B$500=H287),0),0)),""))</f>
        <v/>
      </c>
      <c r="K287" s="38">
        <f>IF(OR(I287="",J287=""),"",IFERROR(I287*J287*INDEX(Products!$K:$K,MATCH(G287,Products!$A:$A,0)),""))</f>
        <v/>
      </c>
      <c r="L287" s="38">
        <f>IF(A287="","",IF(A287=A286,M286+1,1))</f>
        <v/>
      </c>
      <c r="M287" s="38">
        <f>IF(OR(L287="",I287=""),"",L287+I287-1)</f>
        <v/>
      </c>
      <c r="N287" s="38">
        <f>IF(A287="","",SUMIF($A$2:$A$500,A287,$I$2:$I$500))</f>
        <v/>
      </c>
    </row>
    <row r="288" ht="15" customHeight="1" s="22">
      <c r="J288" s="38">
        <f>IF(G288="","",IFERROR(INDEX(PackRates!$C:$C,MATCH(1,INDEX((PackRates!$A$1:$A$500=G288)*(PackRates!$B$1:$B$500=H288),0),0)),""))</f>
        <v/>
      </c>
      <c r="K288" s="38">
        <f>IF(OR(I288="",J288=""),"",IFERROR(I288*J288*INDEX(Products!$K:$K,MATCH(G288,Products!$A:$A,0)),""))</f>
        <v/>
      </c>
      <c r="L288" s="38">
        <f>IF(A288="","",IF(A288=A287,M287+1,1))</f>
        <v/>
      </c>
      <c r="M288" s="38">
        <f>IF(OR(L288="",I288=""),"",L288+I288-1)</f>
        <v/>
      </c>
      <c r="N288" s="38">
        <f>IF(A288="","",SUMIF($A$2:$A$500,A288,$I$2:$I$500))</f>
        <v/>
      </c>
    </row>
    <row r="289" ht="15" customHeight="1" s="22">
      <c r="J289" s="38">
        <f>IF(G289="","",IFERROR(INDEX(PackRates!$C:$C,MATCH(1,INDEX((PackRates!$A$1:$A$500=G289)*(PackRates!$B$1:$B$500=H289),0),0)),""))</f>
        <v/>
      </c>
      <c r="K289" s="38">
        <f>IF(OR(I289="",J289=""),"",IFERROR(I289*J289*INDEX(Products!$K:$K,MATCH(G289,Products!$A:$A,0)),""))</f>
        <v/>
      </c>
      <c r="L289" s="38">
        <f>IF(A289="","",IF(A289=A288,M288+1,1))</f>
        <v/>
      </c>
      <c r="M289" s="38">
        <f>IF(OR(L289="",I289=""),"",L289+I289-1)</f>
        <v/>
      </c>
      <c r="N289" s="38">
        <f>IF(A289="","",SUMIF($A$2:$A$500,A289,$I$2:$I$500))</f>
        <v/>
      </c>
    </row>
    <row r="290" ht="15" customHeight="1" s="22">
      <c r="J290" s="38">
        <f>IF(G290="","",IFERROR(INDEX(PackRates!$C:$C,MATCH(1,INDEX((PackRates!$A$1:$A$500=G290)*(PackRates!$B$1:$B$500=H290),0),0)),""))</f>
        <v/>
      </c>
      <c r="K290" s="38">
        <f>IF(OR(I290="",J290=""),"",IFERROR(I290*J290*INDEX(Products!$K:$K,MATCH(G290,Products!$A:$A,0)),""))</f>
        <v/>
      </c>
      <c r="L290" s="38">
        <f>IF(A290="","",IF(A290=A289,M289+1,1))</f>
        <v/>
      </c>
      <c r="M290" s="38">
        <f>IF(OR(L290="",I290=""),"",L290+I290-1)</f>
        <v/>
      </c>
      <c r="N290" s="38">
        <f>IF(A290="","",SUMIF($A$2:$A$500,A290,$I$2:$I$500))</f>
        <v/>
      </c>
    </row>
    <row r="291" ht="15" customHeight="1" s="22">
      <c r="J291" s="38">
        <f>IF(G291="","",IFERROR(INDEX(PackRates!$C:$C,MATCH(1,INDEX((PackRates!$A$1:$A$500=G291)*(PackRates!$B$1:$B$500=H291),0),0)),""))</f>
        <v/>
      </c>
      <c r="K291" s="38">
        <f>IF(OR(I291="",J291=""),"",IFERROR(I291*J291*INDEX(Products!$K:$K,MATCH(G291,Products!$A:$A,0)),""))</f>
        <v/>
      </c>
      <c r="L291" s="38">
        <f>IF(A291="","",IF(A291=A290,M290+1,1))</f>
        <v/>
      </c>
      <c r="M291" s="38">
        <f>IF(OR(L291="",I291=""),"",L291+I291-1)</f>
        <v/>
      </c>
      <c r="N291" s="38">
        <f>IF(A291="","",SUMIF($A$2:$A$500,A291,$I$2:$I$500))</f>
        <v/>
      </c>
    </row>
    <row r="292" ht="15" customHeight="1" s="22">
      <c r="J292" s="38">
        <f>IF(G292="","",IFERROR(INDEX(PackRates!$C:$C,MATCH(1,INDEX((PackRates!$A$1:$A$500=G292)*(PackRates!$B$1:$B$500=H292),0),0)),""))</f>
        <v/>
      </c>
      <c r="K292" s="38">
        <f>IF(OR(I292="",J292=""),"",IFERROR(I292*J292*INDEX(Products!$K:$K,MATCH(G292,Products!$A:$A,0)),""))</f>
        <v/>
      </c>
      <c r="L292" s="38">
        <f>IF(A292="","",IF(A292=A291,M291+1,1))</f>
        <v/>
      </c>
      <c r="M292" s="38">
        <f>IF(OR(L292="",I292=""),"",L292+I292-1)</f>
        <v/>
      </c>
      <c r="N292" s="38">
        <f>IF(A292="","",SUMIF($A$2:$A$500,A292,$I$2:$I$500))</f>
        <v/>
      </c>
    </row>
    <row r="293" ht="15" customHeight="1" s="22">
      <c r="J293" s="38">
        <f>IF(G293="","",IFERROR(INDEX(PackRates!$C:$C,MATCH(1,INDEX((PackRates!$A$1:$A$500=G293)*(PackRates!$B$1:$B$500=H293),0),0)),""))</f>
        <v/>
      </c>
      <c r="K293" s="38">
        <f>IF(OR(I293="",J293=""),"",IFERROR(I293*J293*INDEX(Products!$K:$K,MATCH(G293,Products!$A:$A,0)),""))</f>
        <v/>
      </c>
      <c r="L293" s="38">
        <f>IF(A293="","",IF(A293=A292,M292+1,1))</f>
        <v/>
      </c>
      <c r="M293" s="38">
        <f>IF(OR(L293="",I293=""),"",L293+I293-1)</f>
        <v/>
      </c>
      <c r="N293" s="38">
        <f>IF(A293="","",SUMIF($A$2:$A$500,A293,$I$2:$I$500))</f>
        <v/>
      </c>
    </row>
    <row r="294" ht="15" customHeight="1" s="22">
      <c r="J294" s="38">
        <f>IF(G294="","",IFERROR(INDEX(PackRates!$C:$C,MATCH(1,INDEX((PackRates!$A$1:$A$500=G294)*(PackRates!$B$1:$B$500=H294),0),0)),""))</f>
        <v/>
      </c>
      <c r="K294" s="38">
        <f>IF(OR(I294="",J294=""),"",IFERROR(I294*J294*INDEX(Products!$K:$K,MATCH(G294,Products!$A:$A,0)),""))</f>
        <v/>
      </c>
      <c r="L294" s="38">
        <f>IF(A294="","",IF(A294=A293,M293+1,1))</f>
        <v/>
      </c>
      <c r="M294" s="38">
        <f>IF(OR(L294="",I294=""),"",L294+I294-1)</f>
        <v/>
      </c>
      <c r="N294" s="38">
        <f>IF(A294="","",SUMIF($A$2:$A$500,A294,$I$2:$I$500))</f>
        <v/>
      </c>
    </row>
    <row r="295" ht="15" customHeight="1" s="22">
      <c r="J295" s="38">
        <f>IF(G295="","",IFERROR(INDEX(PackRates!$C:$C,MATCH(1,INDEX((PackRates!$A$1:$A$500=G295)*(PackRates!$B$1:$B$500=H295),0),0)),""))</f>
        <v/>
      </c>
      <c r="K295" s="38">
        <f>IF(OR(I295="",J295=""),"",IFERROR(I295*J295*INDEX(Products!$K:$K,MATCH(G295,Products!$A:$A,0)),""))</f>
        <v/>
      </c>
      <c r="L295" s="38">
        <f>IF(A295="","",IF(A295=A294,M294+1,1))</f>
        <v/>
      </c>
      <c r="M295" s="38">
        <f>IF(OR(L295="",I295=""),"",L295+I295-1)</f>
        <v/>
      </c>
      <c r="N295" s="38">
        <f>IF(A295="","",SUMIF($A$2:$A$500,A295,$I$2:$I$500))</f>
        <v/>
      </c>
    </row>
    <row r="296" ht="15" customHeight="1" s="22">
      <c r="J296" s="38">
        <f>IF(G296="","",IFERROR(INDEX(PackRates!$C:$C,MATCH(1,INDEX((PackRates!$A$1:$A$500=G296)*(PackRates!$B$1:$B$500=H296),0),0)),""))</f>
        <v/>
      </c>
      <c r="K296" s="38">
        <f>IF(OR(I296="",J296=""),"",IFERROR(I296*J296*INDEX(Products!$K:$K,MATCH(G296,Products!$A:$A,0)),""))</f>
        <v/>
      </c>
      <c r="L296" s="38">
        <f>IF(A296="","",IF(A296=A295,M295+1,1))</f>
        <v/>
      </c>
      <c r="M296" s="38">
        <f>IF(OR(L296="",I296=""),"",L296+I296-1)</f>
        <v/>
      </c>
      <c r="N296" s="38">
        <f>IF(A296="","",SUMIF($A$2:$A$500,A296,$I$2:$I$500))</f>
        <v/>
      </c>
    </row>
    <row r="297" ht="15" customHeight="1" s="22">
      <c r="J297" s="38">
        <f>IF(G297="","",IFERROR(INDEX(PackRates!$C:$C,MATCH(1,INDEX((PackRates!$A$1:$A$500=G297)*(PackRates!$B$1:$B$500=H297),0),0)),""))</f>
        <v/>
      </c>
      <c r="K297" s="38">
        <f>IF(OR(I297="",J297=""),"",IFERROR(I297*J297*INDEX(Products!$K:$K,MATCH(G297,Products!$A:$A,0)),""))</f>
        <v/>
      </c>
      <c r="L297" s="38">
        <f>IF(A297="","",IF(A297=A296,M296+1,1))</f>
        <v/>
      </c>
      <c r="M297" s="38">
        <f>IF(OR(L297="",I297=""),"",L297+I297-1)</f>
        <v/>
      </c>
      <c r="N297" s="38">
        <f>IF(A297="","",SUMIF($A$2:$A$500,A297,$I$2:$I$500))</f>
        <v/>
      </c>
    </row>
    <row r="298" ht="15" customHeight="1" s="22">
      <c r="J298" s="38">
        <f>IF(G298="","",IFERROR(INDEX(PackRates!$C:$C,MATCH(1,INDEX((PackRates!$A$1:$A$500=G298)*(PackRates!$B$1:$B$500=H298),0),0)),""))</f>
        <v/>
      </c>
      <c r="K298" s="38">
        <f>IF(OR(I298="",J298=""),"",IFERROR(I298*J298*INDEX(Products!$K:$K,MATCH(G298,Products!$A:$A,0)),""))</f>
        <v/>
      </c>
      <c r="L298" s="38">
        <f>IF(A298="","",IF(A298=A297,M297+1,1))</f>
        <v/>
      </c>
      <c r="M298" s="38">
        <f>IF(OR(L298="",I298=""),"",L298+I298-1)</f>
        <v/>
      </c>
      <c r="N298" s="38">
        <f>IF(A298="","",SUMIF($A$2:$A$500,A298,$I$2:$I$500))</f>
        <v/>
      </c>
    </row>
    <row r="299" ht="15" customHeight="1" s="22">
      <c r="J299" s="38">
        <f>IF(G299="","",IFERROR(INDEX(PackRates!$C:$C,MATCH(1,INDEX((PackRates!$A$1:$A$500=G299)*(PackRates!$B$1:$B$500=H299),0),0)),""))</f>
        <v/>
      </c>
      <c r="K299" s="38">
        <f>IF(OR(I299="",J299=""),"",IFERROR(I299*J299*INDEX(Products!$K:$K,MATCH(G299,Products!$A:$A,0)),""))</f>
        <v/>
      </c>
      <c r="L299" s="38">
        <f>IF(A299="","",IF(A299=A298,M298+1,1))</f>
        <v/>
      </c>
      <c r="M299" s="38">
        <f>IF(OR(L299="",I299=""),"",L299+I299-1)</f>
        <v/>
      </c>
      <c r="N299" s="38">
        <f>IF(A299="","",SUMIF($A$2:$A$500,A299,$I$2:$I$500))</f>
        <v/>
      </c>
    </row>
    <row r="300" ht="15" customHeight="1" s="22">
      <c r="J300" s="38">
        <f>IF(G300="","",IFERROR(INDEX(PackRates!$C:$C,MATCH(1,INDEX((PackRates!$A$1:$A$500=G300)*(PackRates!$B$1:$B$500=H300),0),0)),""))</f>
        <v/>
      </c>
      <c r="K300" s="38">
        <f>IF(OR(I300="",J300=""),"",IFERROR(I300*J300*INDEX(Products!$K:$K,MATCH(G300,Products!$A:$A,0)),""))</f>
        <v/>
      </c>
      <c r="L300" s="38">
        <f>IF(A300="","",IF(A300=A299,M299+1,1))</f>
        <v/>
      </c>
      <c r="M300" s="38">
        <f>IF(OR(L300="",I300=""),"",L300+I300-1)</f>
        <v/>
      </c>
      <c r="N300" s="38">
        <f>IF(A300="","",SUMIF($A$2:$A$500,A300,$I$2:$I$500))</f>
        <v/>
      </c>
    </row>
    <row r="301" ht="15" customHeight="1" s="22">
      <c r="J301" s="38">
        <f>IF(G301="","",IFERROR(INDEX(PackRates!$C:$C,MATCH(1,INDEX((PackRates!$A$1:$A$500=G301)*(PackRates!$B$1:$B$500=H301),0),0)),""))</f>
        <v/>
      </c>
      <c r="K301" s="38">
        <f>IF(OR(I301="",J301=""),"",IFERROR(I301*J301*INDEX(Products!$K:$K,MATCH(G301,Products!$A:$A,0)),""))</f>
        <v/>
      </c>
      <c r="L301" s="38">
        <f>IF(A301="","",IF(A301=A300,M300+1,1))</f>
        <v/>
      </c>
      <c r="M301" s="38">
        <f>IF(OR(L301="",I301=""),"",L301+I301-1)</f>
        <v/>
      </c>
      <c r="N301" s="38">
        <f>IF(A301="","",SUMIF($A$2:$A$500,A301,$I$2:$I$500))</f>
        <v/>
      </c>
    </row>
    <row r="302" ht="15" customHeight="1" s="22">
      <c r="J302" s="38">
        <f>IF(G302="","",IFERROR(INDEX(PackRates!$C:$C,MATCH(1,INDEX((PackRates!$A$1:$A$500=G302)*(PackRates!$B$1:$B$500=H302),0),0)),""))</f>
        <v/>
      </c>
      <c r="K302" s="38">
        <f>IF(OR(I302="",J302=""),"",IFERROR(I302*J302*INDEX(Products!$K:$K,MATCH(G302,Products!$A:$A,0)),""))</f>
        <v/>
      </c>
      <c r="L302" s="38">
        <f>IF(A302="","",IF(A302=A301,M301+1,1))</f>
        <v/>
      </c>
      <c r="M302" s="38">
        <f>IF(OR(L302="",I302=""),"",L302+I302-1)</f>
        <v/>
      </c>
      <c r="N302" s="38">
        <f>IF(A302="","",SUMIF($A$2:$A$500,A302,$I$2:$I$500))</f>
        <v/>
      </c>
    </row>
    <row r="303" ht="15" customHeight="1" s="22">
      <c r="J303" s="38">
        <f>IF(G303="","",IFERROR(INDEX(PackRates!$C:$C,MATCH(1,INDEX((PackRates!$A$1:$A$500=G303)*(PackRates!$B$1:$B$500=H303),0),0)),""))</f>
        <v/>
      </c>
      <c r="K303" s="38">
        <f>IF(OR(I303="",J303=""),"",IFERROR(I303*J303*INDEX(Products!$K:$K,MATCH(G303,Products!$A:$A,0)),""))</f>
        <v/>
      </c>
      <c r="L303" s="38">
        <f>IF(A303="","",IF(A303=A302,M302+1,1))</f>
        <v/>
      </c>
      <c r="M303" s="38">
        <f>IF(OR(L303="",I303=""),"",L303+I303-1)</f>
        <v/>
      </c>
      <c r="N303" s="38">
        <f>IF(A303="","",SUMIF($A$2:$A$500,A303,$I$2:$I$500))</f>
        <v/>
      </c>
    </row>
    <row r="304" ht="15" customHeight="1" s="22">
      <c r="J304" s="38">
        <f>IF(G304="","",IFERROR(INDEX(PackRates!$C:$C,MATCH(1,INDEX((PackRates!$A$1:$A$500=G304)*(PackRates!$B$1:$B$500=H304),0),0)),""))</f>
        <v/>
      </c>
      <c r="K304" s="38">
        <f>IF(OR(I304="",J304=""),"",IFERROR(I304*J304*INDEX(Products!$K:$K,MATCH(G304,Products!$A:$A,0)),""))</f>
        <v/>
      </c>
      <c r="L304" s="38">
        <f>IF(A304="","",IF(A304=A303,M303+1,1))</f>
        <v/>
      </c>
      <c r="M304" s="38">
        <f>IF(OR(L304="",I304=""),"",L304+I304-1)</f>
        <v/>
      </c>
      <c r="N304" s="38">
        <f>IF(A304="","",SUMIF($A$2:$A$500,A304,$I$2:$I$500))</f>
        <v/>
      </c>
    </row>
    <row r="305" ht="15" customHeight="1" s="22">
      <c r="J305" s="38">
        <f>IF(G305="","",IFERROR(INDEX(PackRates!$C:$C,MATCH(1,INDEX((PackRates!$A$1:$A$500=G305)*(PackRates!$B$1:$B$500=H305),0),0)),""))</f>
        <v/>
      </c>
      <c r="K305" s="38">
        <f>IF(OR(I305="",J305=""),"",IFERROR(I305*J305*INDEX(Products!$K:$K,MATCH(G305,Products!$A:$A,0)),""))</f>
        <v/>
      </c>
      <c r="L305" s="38">
        <f>IF(A305="","",IF(A305=A304,M304+1,1))</f>
        <v/>
      </c>
      <c r="M305" s="38">
        <f>IF(OR(L305="",I305=""),"",L305+I305-1)</f>
        <v/>
      </c>
      <c r="N305" s="38">
        <f>IF(A305="","",SUMIF($A$2:$A$500,A305,$I$2:$I$500))</f>
        <v/>
      </c>
    </row>
    <row r="306" ht="15" customHeight="1" s="22">
      <c r="J306" s="38">
        <f>IF(G306="","",IFERROR(INDEX(PackRates!$C:$C,MATCH(1,INDEX((PackRates!$A$1:$A$500=G306)*(PackRates!$B$1:$B$500=H306),0),0)),""))</f>
        <v/>
      </c>
      <c r="K306" s="38">
        <f>IF(OR(I306="",J306=""),"",IFERROR(I306*J306*INDEX(Products!$K:$K,MATCH(G306,Products!$A:$A,0)),""))</f>
        <v/>
      </c>
      <c r="L306" s="38">
        <f>IF(A306="","",IF(A306=A305,M305+1,1))</f>
        <v/>
      </c>
      <c r="M306" s="38">
        <f>IF(OR(L306="",I306=""),"",L306+I306-1)</f>
        <v/>
      </c>
      <c r="N306" s="38">
        <f>IF(A306="","",SUMIF($A$2:$A$500,A306,$I$2:$I$500))</f>
        <v/>
      </c>
    </row>
    <row r="307" ht="15" customHeight="1" s="22">
      <c r="J307" s="38">
        <f>IF(G307="","",IFERROR(INDEX(PackRates!$C:$C,MATCH(1,INDEX((PackRates!$A$1:$A$500=G307)*(PackRates!$B$1:$B$500=H307),0),0)),""))</f>
        <v/>
      </c>
      <c r="K307" s="38">
        <f>IF(OR(I307="",J307=""),"",IFERROR(I307*J307*INDEX(Products!$K:$K,MATCH(G307,Products!$A:$A,0)),""))</f>
        <v/>
      </c>
      <c r="L307" s="38">
        <f>IF(A307="","",IF(A307=A306,M306+1,1))</f>
        <v/>
      </c>
      <c r="M307" s="38">
        <f>IF(OR(L307="",I307=""),"",L307+I307-1)</f>
        <v/>
      </c>
      <c r="N307" s="38">
        <f>IF(A307="","",SUMIF($A$2:$A$500,A307,$I$2:$I$500))</f>
        <v/>
      </c>
    </row>
    <row r="308" ht="15" customHeight="1" s="22">
      <c r="J308" s="38">
        <f>IF(G308="","",IFERROR(INDEX(PackRates!$C:$C,MATCH(1,INDEX((PackRates!$A$1:$A$500=G308)*(PackRates!$B$1:$B$500=H308),0),0)),""))</f>
        <v/>
      </c>
      <c r="K308" s="38">
        <f>IF(OR(I308="",J308=""),"",IFERROR(I308*J308*INDEX(Products!$K:$K,MATCH(G308,Products!$A:$A,0)),""))</f>
        <v/>
      </c>
      <c r="L308" s="38">
        <f>IF(A308="","",IF(A308=A307,M307+1,1))</f>
        <v/>
      </c>
      <c r="M308" s="38">
        <f>IF(OR(L308="",I308=""),"",L308+I308-1)</f>
        <v/>
      </c>
      <c r="N308" s="38">
        <f>IF(A308="","",SUMIF($A$2:$A$500,A308,$I$2:$I$500))</f>
        <v/>
      </c>
    </row>
    <row r="309" ht="15" customHeight="1" s="22">
      <c r="J309" s="38">
        <f>IF(G309="","",IFERROR(INDEX(PackRates!$C:$C,MATCH(1,INDEX((PackRates!$A$1:$A$500=G309)*(PackRates!$B$1:$B$500=H309),0),0)),""))</f>
        <v/>
      </c>
      <c r="K309" s="38">
        <f>IF(OR(I309="",J309=""),"",IFERROR(I309*J309*INDEX(Products!$K:$K,MATCH(G309,Products!$A:$A,0)),""))</f>
        <v/>
      </c>
      <c r="L309" s="38">
        <f>IF(A309="","",IF(A309=A308,M308+1,1))</f>
        <v/>
      </c>
      <c r="M309" s="38">
        <f>IF(OR(L309="",I309=""),"",L309+I309-1)</f>
        <v/>
      </c>
      <c r="N309" s="38">
        <f>IF(A309="","",SUMIF($A$2:$A$500,A309,$I$2:$I$500))</f>
        <v/>
      </c>
    </row>
    <row r="310" ht="15" customHeight="1" s="22">
      <c r="J310" s="38">
        <f>IF(G310="","",IFERROR(INDEX(PackRates!$C:$C,MATCH(1,INDEX((PackRates!$A$1:$A$500=G310)*(PackRates!$B$1:$B$500=H310),0),0)),""))</f>
        <v/>
      </c>
      <c r="K310" s="38">
        <f>IF(OR(I310="",J310=""),"",IFERROR(I310*J310*INDEX(Products!$K:$K,MATCH(G310,Products!$A:$A,0)),""))</f>
        <v/>
      </c>
      <c r="L310" s="38">
        <f>IF(A310="","",IF(A310=A309,M309+1,1))</f>
        <v/>
      </c>
      <c r="M310" s="38">
        <f>IF(OR(L310="",I310=""),"",L310+I310-1)</f>
        <v/>
      </c>
      <c r="N310" s="38">
        <f>IF(A310="","",SUMIF($A$2:$A$500,A310,$I$2:$I$500))</f>
        <v/>
      </c>
    </row>
    <row r="311" ht="15" customHeight="1" s="22">
      <c r="J311" s="38">
        <f>IF(G311="","",IFERROR(INDEX(PackRates!$C:$C,MATCH(1,INDEX((PackRates!$A$1:$A$500=G311)*(PackRates!$B$1:$B$500=H311),0),0)),""))</f>
        <v/>
      </c>
      <c r="K311" s="38">
        <f>IF(OR(I311="",J311=""),"",IFERROR(I311*J311*INDEX(Products!$K:$K,MATCH(G311,Products!$A:$A,0)),""))</f>
        <v/>
      </c>
      <c r="L311" s="38">
        <f>IF(A311="","",IF(A311=A310,M310+1,1))</f>
        <v/>
      </c>
      <c r="M311" s="38">
        <f>IF(OR(L311="",I311=""),"",L311+I311-1)</f>
        <v/>
      </c>
      <c r="N311" s="38">
        <f>IF(A311="","",SUMIF($A$2:$A$500,A311,$I$2:$I$500))</f>
        <v/>
      </c>
    </row>
    <row r="312" ht="15" customHeight="1" s="22">
      <c r="J312" s="38">
        <f>IF(G312="","",IFERROR(INDEX(PackRates!$C:$C,MATCH(1,INDEX((PackRates!$A$1:$A$500=G312)*(PackRates!$B$1:$B$500=H312),0),0)),""))</f>
        <v/>
      </c>
      <c r="K312" s="38">
        <f>IF(OR(I312="",J312=""),"",IFERROR(I312*J312*INDEX(Products!$K:$K,MATCH(G312,Products!$A:$A,0)),""))</f>
        <v/>
      </c>
      <c r="L312" s="38">
        <f>IF(A312="","",IF(A312=A311,M311+1,1))</f>
        <v/>
      </c>
      <c r="M312" s="38">
        <f>IF(OR(L312="",I312=""),"",L312+I312-1)</f>
        <v/>
      </c>
      <c r="N312" s="38">
        <f>IF(A312="","",SUMIF($A$2:$A$500,A312,$I$2:$I$500))</f>
        <v/>
      </c>
    </row>
    <row r="313" ht="15" customHeight="1" s="22">
      <c r="J313" s="38">
        <f>IF(G313="","",IFERROR(INDEX(PackRates!$C:$C,MATCH(1,INDEX((PackRates!$A$1:$A$500=G313)*(PackRates!$B$1:$B$500=H313),0),0)),""))</f>
        <v/>
      </c>
      <c r="K313" s="38">
        <f>IF(OR(I313="",J313=""),"",IFERROR(I313*J313*INDEX(Products!$K:$K,MATCH(G313,Products!$A:$A,0)),""))</f>
        <v/>
      </c>
      <c r="L313" s="38">
        <f>IF(A313="","",IF(A313=A312,M312+1,1))</f>
        <v/>
      </c>
      <c r="M313" s="38">
        <f>IF(OR(L313="",I313=""),"",L313+I313-1)</f>
        <v/>
      </c>
      <c r="N313" s="38">
        <f>IF(A313="","",SUMIF($A$2:$A$500,A313,$I$2:$I$500))</f>
        <v/>
      </c>
    </row>
    <row r="314" ht="15" customHeight="1" s="22">
      <c r="J314" s="38">
        <f>IF(G314="","",IFERROR(INDEX(PackRates!$C:$C,MATCH(1,INDEX((PackRates!$A$1:$A$500=G314)*(PackRates!$B$1:$B$500=H314),0),0)),""))</f>
        <v/>
      </c>
      <c r="K314" s="38">
        <f>IF(OR(I314="",J314=""),"",IFERROR(I314*J314*INDEX(Products!$K:$K,MATCH(G314,Products!$A:$A,0)),""))</f>
        <v/>
      </c>
      <c r="L314" s="38">
        <f>IF(A314="","",IF(A314=A313,M313+1,1))</f>
        <v/>
      </c>
      <c r="M314" s="38">
        <f>IF(OR(L314="",I314=""),"",L314+I314-1)</f>
        <v/>
      </c>
      <c r="N314" s="38">
        <f>IF(A314="","",SUMIF($A$2:$A$500,A314,$I$2:$I$500))</f>
        <v/>
      </c>
    </row>
    <row r="315" ht="15" customHeight="1" s="22">
      <c r="J315" s="38">
        <f>IF(G315="","",IFERROR(INDEX(PackRates!$C:$C,MATCH(1,INDEX((PackRates!$A$1:$A$500=G315)*(PackRates!$B$1:$B$500=H315),0),0)),""))</f>
        <v/>
      </c>
      <c r="K315" s="38">
        <f>IF(OR(I315="",J315=""),"",IFERROR(I315*J315*INDEX(Products!$K:$K,MATCH(G315,Products!$A:$A,0)),""))</f>
        <v/>
      </c>
      <c r="L315" s="38">
        <f>IF(A315="","",IF(A315=A314,M314+1,1))</f>
        <v/>
      </c>
      <c r="M315" s="38">
        <f>IF(OR(L315="",I315=""),"",L315+I315-1)</f>
        <v/>
      </c>
      <c r="N315" s="38">
        <f>IF(A315="","",SUMIF($A$2:$A$500,A315,$I$2:$I$500))</f>
        <v/>
      </c>
    </row>
    <row r="316" ht="15" customHeight="1" s="22">
      <c r="J316" s="38">
        <f>IF(G316="","",IFERROR(INDEX(PackRates!$C:$C,MATCH(1,INDEX((PackRates!$A$1:$A$500=G316)*(PackRates!$B$1:$B$500=H316),0),0)),""))</f>
        <v/>
      </c>
      <c r="K316" s="38">
        <f>IF(OR(I316="",J316=""),"",IFERROR(I316*J316*INDEX(Products!$K:$K,MATCH(G316,Products!$A:$A,0)),""))</f>
        <v/>
      </c>
      <c r="L316" s="38">
        <f>IF(A316="","",IF(A316=A315,M315+1,1))</f>
        <v/>
      </c>
      <c r="M316" s="38">
        <f>IF(OR(L316="",I316=""),"",L316+I316-1)</f>
        <v/>
      </c>
      <c r="N316" s="38">
        <f>IF(A316="","",SUMIF($A$2:$A$500,A316,$I$2:$I$500))</f>
        <v/>
      </c>
    </row>
    <row r="317" ht="15" customHeight="1" s="22">
      <c r="J317" s="38">
        <f>IF(G317="","",IFERROR(INDEX(PackRates!$C:$C,MATCH(1,INDEX((PackRates!$A$1:$A$500=G317)*(PackRates!$B$1:$B$500=H317),0),0)),""))</f>
        <v/>
      </c>
      <c r="K317" s="38">
        <f>IF(OR(I317="",J317=""),"",IFERROR(I317*J317*INDEX(Products!$K:$K,MATCH(G317,Products!$A:$A,0)),""))</f>
        <v/>
      </c>
      <c r="L317" s="38">
        <f>IF(A317="","",IF(A317=A316,M316+1,1))</f>
        <v/>
      </c>
      <c r="M317" s="38">
        <f>IF(OR(L317="",I317=""),"",L317+I317-1)</f>
        <v/>
      </c>
      <c r="N317" s="38">
        <f>IF(A317="","",SUMIF($A$2:$A$500,A317,$I$2:$I$500))</f>
        <v/>
      </c>
    </row>
    <row r="318" ht="15" customHeight="1" s="22">
      <c r="J318" s="38">
        <f>IF(G318="","",IFERROR(INDEX(PackRates!$C:$C,MATCH(1,INDEX((PackRates!$A$1:$A$500=G318)*(PackRates!$B$1:$B$500=H318),0),0)),""))</f>
        <v/>
      </c>
      <c r="K318" s="38">
        <f>IF(OR(I318="",J318=""),"",IFERROR(I318*J318*INDEX(Products!$K:$K,MATCH(G318,Products!$A:$A,0)),""))</f>
        <v/>
      </c>
      <c r="L318" s="38">
        <f>IF(A318="","",IF(A318=A317,M317+1,1))</f>
        <v/>
      </c>
      <c r="M318" s="38">
        <f>IF(OR(L318="",I318=""),"",L318+I318-1)</f>
        <v/>
      </c>
      <c r="N318" s="38">
        <f>IF(A318="","",SUMIF($A$2:$A$500,A318,$I$2:$I$500))</f>
        <v/>
      </c>
    </row>
    <row r="319" ht="15" customHeight="1" s="22">
      <c r="J319" s="38">
        <f>IF(G319="","",IFERROR(INDEX(PackRates!$C:$C,MATCH(1,INDEX((PackRates!$A$1:$A$500=G319)*(PackRates!$B$1:$B$500=H319),0),0)),""))</f>
        <v/>
      </c>
      <c r="K319" s="38">
        <f>IF(OR(I319="",J319=""),"",IFERROR(I319*J319*INDEX(Products!$K:$K,MATCH(G319,Products!$A:$A,0)),""))</f>
        <v/>
      </c>
      <c r="L319" s="38">
        <f>IF(A319="","",IF(A319=A318,M318+1,1))</f>
        <v/>
      </c>
      <c r="M319" s="38">
        <f>IF(OR(L319="",I319=""),"",L319+I319-1)</f>
        <v/>
      </c>
      <c r="N319" s="38">
        <f>IF(A319="","",SUMIF($A$2:$A$500,A319,$I$2:$I$500))</f>
        <v/>
      </c>
    </row>
    <row r="320" ht="15" customHeight="1" s="22">
      <c r="J320" s="38">
        <f>IF(G320="","",IFERROR(INDEX(PackRates!$C:$C,MATCH(1,INDEX((PackRates!$A$1:$A$500=G320)*(PackRates!$B$1:$B$500=H320),0),0)),""))</f>
        <v/>
      </c>
      <c r="K320" s="38">
        <f>IF(OR(I320="",J320=""),"",IFERROR(I320*J320*INDEX(Products!$K:$K,MATCH(G320,Products!$A:$A,0)),""))</f>
        <v/>
      </c>
      <c r="L320" s="38">
        <f>IF(A320="","",IF(A320=A319,M319+1,1))</f>
        <v/>
      </c>
      <c r="M320" s="38">
        <f>IF(OR(L320="",I320=""),"",L320+I320-1)</f>
        <v/>
      </c>
      <c r="N320" s="38">
        <f>IF(A320="","",SUMIF($A$2:$A$500,A320,$I$2:$I$500))</f>
        <v/>
      </c>
    </row>
    <row r="321" ht="15" customHeight="1" s="22">
      <c r="J321" s="38">
        <f>IF(G321="","",IFERROR(INDEX(PackRates!$C:$C,MATCH(1,INDEX((PackRates!$A$1:$A$500=G321)*(PackRates!$B$1:$B$500=H321),0),0)),""))</f>
        <v/>
      </c>
      <c r="K321" s="38">
        <f>IF(OR(I321="",J321=""),"",IFERROR(I321*J321*INDEX(Products!$K:$K,MATCH(G321,Products!$A:$A,0)),""))</f>
        <v/>
      </c>
      <c r="L321" s="38">
        <f>IF(A321="","",IF(A321=A320,M320+1,1))</f>
        <v/>
      </c>
      <c r="M321" s="38">
        <f>IF(OR(L321="",I321=""),"",L321+I321-1)</f>
        <v/>
      </c>
      <c r="N321" s="38">
        <f>IF(A321="","",SUMIF($A$2:$A$500,A321,$I$2:$I$500))</f>
        <v/>
      </c>
    </row>
    <row r="322" ht="15" customHeight="1" s="22">
      <c r="J322" s="38">
        <f>IF(G322="","",IFERROR(INDEX(PackRates!$C:$C,MATCH(1,INDEX((PackRates!$A$1:$A$500=G322)*(PackRates!$B$1:$B$500=H322),0),0)),""))</f>
        <v/>
      </c>
      <c r="K322" s="38">
        <f>IF(OR(I322="",J322=""),"",IFERROR(I322*J322*INDEX(Products!$K:$K,MATCH(G322,Products!$A:$A,0)),""))</f>
        <v/>
      </c>
      <c r="L322" s="38">
        <f>IF(A322="","",IF(A322=A321,M321+1,1))</f>
        <v/>
      </c>
      <c r="M322" s="38">
        <f>IF(OR(L322="",I322=""),"",L322+I322-1)</f>
        <v/>
      </c>
      <c r="N322" s="38">
        <f>IF(A322="","",SUMIF($A$2:$A$500,A322,$I$2:$I$500))</f>
        <v/>
      </c>
    </row>
    <row r="323" ht="15" customHeight="1" s="22">
      <c r="J323" s="38">
        <f>IF(G323="","",IFERROR(INDEX(PackRates!$C:$C,MATCH(1,INDEX((PackRates!$A$1:$A$500=G323)*(PackRates!$B$1:$B$500=H323),0),0)),""))</f>
        <v/>
      </c>
      <c r="K323" s="38">
        <f>IF(OR(I323="",J323=""),"",IFERROR(I323*J323*INDEX(Products!$K:$K,MATCH(G323,Products!$A:$A,0)),""))</f>
        <v/>
      </c>
      <c r="L323" s="38">
        <f>IF(A323="","",IF(A323=A322,M322+1,1))</f>
        <v/>
      </c>
      <c r="M323" s="38">
        <f>IF(OR(L323="",I323=""),"",L323+I323-1)</f>
        <v/>
      </c>
      <c r="N323" s="38">
        <f>IF(A323="","",SUMIF($A$2:$A$500,A323,$I$2:$I$500))</f>
        <v/>
      </c>
    </row>
    <row r="324" ht="15" customHeight="1" s="22">
      <c r="J324" s="38">
        <f>IF(G324="","",IFERROR(INDEX(PackRates!$C:$C,MATCH(1,INDEX((PackRates!$A$1:$A$500=G324)*(PackRates!$B$1:$B$500=H324),0),0)),""))</f>
        <v/>
      </c>
      <c r="K324" s="38">
        <f>IF(OR(I324="",J324=""),"",IFERROR(I324*J324*INDEX(Products!$K:$K,MATCH(G324,Products!$A:$A,0)),""))</f>
        <v/>
      </c>
      <c r="L324" s="38">
        <f>IF(A324="","",IF(A324=A323,M323+1,1))</f>
        <v/>
      </c>
      <c r="M324" s="38">
        <f>IF(OR(L324="",I324=""),"",L324+I324-1)</f>
        <v/>
      </c>
      <c r="N324" s="38">
        <f>IF(A324="","",SUMIF($A$2:$A$500,A324,$I$2:$I$500))</f>
        <v/>
      </c>
    </row>
    <row r="325" ht="15" customHeight="1" s="22">
      <c r="J325" s="38">
        <f>IF(G325="","",IFERROR(INDEX(PackRates!$C:$C,MATCH(1,INDEX((PackRates!$A$1:$A$500=G325)*(PackRates!$B$1:$B$500=H325),0),0)),""))</f>
        <v/>
      </c>
      <c r="K325" s="38">
        <f>IF(OR(I325="",J325=""),"",IFERROR(I325*J325*INDEX(Products!$K:$K,MATCH(G325,Products!$A:$A,0)),""))</f>
        <v/>
      </c>
      <c r="L325" s="38">
        <f>IF(A325="","",IF(A325=A324,M324+1,1))</f>
        <v/>
      </c>
      <c r="M325" s="38">
        <f>IF(OR(L325="",I325=""),"",L325+I325-1)</f>
        <v/>
      </c>
      <c r="N325" s="38">
        <f>IF(A325="","",SUMIF($A$2:$A$500,A325,$I$2:$I$500))</f>
        <v/>
      </c>
    </row>
    <row r="326" ht="15" customHeight="1" s="22">
      <c r="J326" s="38">
        <f>IF(G326="","",IFERROR(INDEX(PackRates!$C:$C,MATCH(1,INDEX((PackRates!$A$1:$A$500=G326)*(PackRates!$B$1:$B$500=H326),0),0)),""))</f>
        <v/>
      </c>
      <c r="K326" s="38">
        <f>IF(OR(I326="",J326=""),"",IFERROR(I326*J326*INDEX(Products!$K:$K,MATCH(G326,Products!$A:$A,0)),""))</f>
        <v/>
      </c>
      <c r="L326" s="38">
        <f>IF(A326="","",IF(A326=A325,M325+1,1))</f>
        <v/>
      </c>
      <c r="M326" s="38">
        <f>IF(OR(L326="",I326=""),"",L326+I326-1)</f>
        <v/>
      </c>
      <c r="N326" s="38">
        <f>IF(A326="","",SUMIF($A$2:$A$500,A326,$I$2:$I$500))</f>
        <v/>
      </c>
    </row>
    <row r="327" ht="15" customHeight="1" s="22">
      <c r="J327" s="38">
        <f>IF(G327="","",IFERROR(INDEX(PackRates!$C:$C,MATCH(1,INDEX((PackRates!$A$1:$A$500=G327)*(PackRates!$B$1:$B$500=H327),0),0)),""))</f>
        <v/>
      </c>
      <c r="K327" s="38">
        <f>IF(OR(I327="",J327=""),"",IFERROR(I327*J327*INDEX(Products!$K:$K,MATCH(G327,Products!$A:$A,0)),""))</f>
        <v/>
      </c>
      <c r="L327" s="38">
        <f>IF(A327="","",IF(A327=A326,M326+1,1))</f>
        <v/>
      </c>
      <c r="M327" s="38">
        <f>IF(OR(L327="",I327=""),"",L327+I327-1)</f>
        <v/>
      </c>
      <c r="N327" s="38">
        <f>IF(A327="","",SUMIF($A$2:$A$500,A327,$I$2:$I$500))</f>
        <v/>
      </c>
    </row>
    <row r="328" ht="15" customHeight="1" s="22">
      <c r="J328" s="38">
        <f>IF(G328="","",IFERROR(INDEX(PackRates!$C:$C,MATCH(1,INDEX((PackRates!$A$1:$A$500=G328)*(PackRates!$B$1:$B$500=H328),0),0)),""))</f>
        <v/>
      </c>
      <c r="K328" s="38">
        <f>IF(OR(I328="",J328=""),"",IFERROR(I328*J328*INDEX(Products!$K:$K,MATCH(G328,Products!$A:$A,0)),""))</f>
        <v/>
      </c>
      <c r="L328" s="38">
        <f>IF(A328="","",IF(A328=A327,M327+1,1))</f>
        <v/>
      </c>
      <c r="M328" s="38">
        <f>IF(OR(L328="",I328=""),"",L328+I328-1)</f>
        <v/>
      </c>
      <c r="N328" s="38">
        <f>IF(A328="","",SUMIF($A$2:$A$500,A328,$I$2:$I$500))</f>
        <v/>
      </c>
    </row>
    <row r="329" ht="15" customHeight="1" s="22">
      <c r="J329" s="38">
        <f>IF(G329="","",IFERROR(INDEX(PackRates!$C:$C,MATCH(1,INDEX((PackRates!$A$1:$A$500=G329)*(PackRates!$B$1:$B$500=H329),0),0)),""))</f>
        <v/>
      </c>
      <c r="K329" s="38">
        <f>IF(OR(I329="",J329=""),"",IFERROR(I329*J329*INDEX(Products!$K:$K,MATCH(G329,Products!$A:$A,0)),""))</f>
        <v/>
      </c>
      <c r="L329" s="38">
        <f>IF(A329="","",IF(A329=A328,M328+1,1))</f>
        <v/>
      </c>
      <c r="M329" s="38">
        <f>IF(OR(L329="",I329=""),"",L329+I329-1)</f>
        <v/>
      </c>
      <c r="N329" s="38">
        <f>IF(A329="","",SUMIF($A$2:$A$500,A329,$I$2:$I$500))</f>
        <v/>
      </c>
    </row>
    <row r="330" ht="15" customHeight="1" s="22">
      <c r="J330" s="38">
        <f>IF(G330="","",IFERROR(INDEX(PackRates!$C:$C,MATCH(1,INDEX((PackRates!$A$1:$A$500=G330)*(PackRates!$B$1:$B$500=H330),0),0)),""))</f>
        <v/>
      </c>
      <c r="K330" s="38">
        <f>IF(OR(I330="",J330=""),"",IFERROR(I330*J330*INDEX(Products!$K:$K,MATCH(G330,Products!$A:$A,0)),""))</f>
        <v/>
      </c>
      <c r="L330" s="38">
        <f>IF(A330="","",IF(A330=A329,M329+1,1))</f>
        <v/>
      </c>
      <c r="M330" s="38">
        <f>IF(OR(L330="",I330=""),"",L330+I330-1)</f>
        <v/>
      </c>
      <c r="N330" s="38">
        <f>IF(A330="","",SUMIF($A$2:$A$500,A330,$I$2:$I$500))</f>
        <v/>
      </c>
    </row>
    <row r="331" ht="15" customHeight="1" s="22">
      <c r="J331" s="38">
        <f>IF(G331="","",IFERROR(INDEX(PackRates!$C:$C,MATCH(1,INDEX((PackRates!$A$1:$A$500=G331)*(PackRates!$B$1:$B$500=H331),0),0)),""))</f>
        <v/>
      </c>
      <c r="K331" s="38">
        <f>IF(OR(I331="",J331=""),"",IFERROR(I331*J331*INDEX(Products!$K:$K,MATCH(G331,Products!$A:$A,0)),""))</f>
        <v/>
      </c>
      <c r="L331" s="38">
        <f>IF(A331="","",IF(A331=A330,M330+1,1))</f>
        <v/>
      </c>
      <c r="M331" s="38">
        <f>IF(OR(L331="",I331=""),"",L331+I331-1)</f>
        <v/>
      </c>
      <c r="N331" s="38">
        <f>IF(A331="","",SUMIF($A$2:$A$500,A331,$I$2:$I$500))</f>
        <v/>
      </c>
    </row>
    <row r="332" ht="15" customHeight="1" s="22">
      <c r="J332" s="38">
        <f>IF(G332="","",IFERROR(INDEX(PackRates!$C:$C,MATCH(1,INDEX((PackRates!$A$1:$A$500=G332)*(PackRates!$B$1:$B$500=H332),0),0)),""))</f>
        <v/>
      </c>
      <c r="K332" s="38">
        <f>IF(OR(I332="",J332=""),"",IFERROR(I332*J332*INDEX(Products!$K:$K,MATCH(G332,Products!$A:$A,0)),""))</f>
        <v/>
      </c>
      <c r="L332" s="38">
        <f>IF(A332="","",IF(A332=A331,M331+1,1))</f>
        <v/>
      </c>
      <c r="M332" s="38">
        <f>IF(OR(L332="",I332=""),"",L332+I332-1)</f>
        <v/>
      </c>
      <c r="N332" s="38">
        <f>IF(A332="","",SUMIF($A$2:$A$500,A332,$I$2:$I$500))</f>
        <v/>
      </c>
    </row>
    <row r="333" ht="15" customHeight="1" s="22">
      <c r="J333" s="38">
        <f>IF(G333="","",IFERROR(INDEX(PackRates!$C:$C,MATCH(1,INDEX((PackRates!$A$1:$A$500=G333)*(PackRates!$B$1:$B$500=H333),0),0)),""))</f>
        <v/>
      </c>
      <c r="K333" s="38">
        <f>IF(OR(I333="",J333=""),"",IFERROR(I333*J333*INDEX(Products!$K:$K,MATCH(G333,Products!$A:$A,0)),""))</f>
        <v/>
      </c>
      <c r="L333" s="38">
        <f>IF(A333="","",IF(A333=A332,M332+1,1))</f>
        <v/>
      </c>
      <c r="M333" s="38">
        <f>IF(OR(L333="",I333=""),"",L333+I333-1)</f>
        <v/>
      </c>
      <c r="N333" s="38">
        <f>IF(A333="","",SUMIF($A$2:$A$500,A333,$I$2:$I$500))</f>
        <v/>
      </c>
    </row>
    <row r="334" ht="15" customHeight="1" s="22">
      <c r="J334" s="38">
        <f>IF(G334="","",IFERROR(INDEX(PackRates!$C:$C,MATCH(1,INDEX((PackRates!$A$1:$A$500=G334)*(PackRates!$B$1:$B$500=H334),0),0)),""))</f>
        <v/>
      </c>
      <c r="K334" s="38">
        <f>IF(OR(I334="",J334=""),"",IFERROR(I334*J334*INDEX(Products!$K:$K,MATCH(G334,Products!$A:$A,0)),""))</f>
        <v/>
      </c>
      <c r="L334" s="38">
        <f>IF(A334="","",IF(A334=A333,M333+1,1))</f>
        <v/>
      </c>
      <c r="M334" s="38">
        <f>IF(OR(L334="",I334=""),"",L334+I334-1)</f>
        <v/>
      </c>
      <c r="N334" s="38">
        <f>IF(A334="","",SUMIF($A$2:$A$500,A334,$I$2:$I$500))</f>
        <v/>
      </c>
    </row>
    <row r="335" ht="15" customHeight="1" s="22">
      <c r="J335" s="38">
        <f>IF(G335="","",IFERROR(INDEX(PackRates!$C:$C,MATCH(1,INDEX((PackRates!$A$1:$A$500=G335)*(PackRates!$B$1:$B$500=H335),0),0)),""))</f>
        <v/>
      </c>
      <c r="K335" s="38">
        <f>IF(OR(I335="",J335=""),"",IFERROR(I335*J335*INDEX(Products!$K:$K,MATCH(G335,Products!$A:$A,0)),""))</f>
        <v/>
      </c>
      <c r="L335" s="38">
        <f>IF(A335="","",IF(A335=A334,M334+1,1))</f>
        <v/>
      </c>
      <c r="M335" s="38">
        <f>IF(OR(L335="",I335=""),"",L335+I335-1)</f>
        <v/>
      </c>
      <c r="N335" s="38">
        <f>IF(A335="","",SUMIF($A$2:$A$500,A335,$I$2:$I$500))</f>
        <v/>
      </c>
    </row>
    <row r="336" ht="15" customHeight="1" s="22">
      <c r="J336" s="38">
        <f>IF(G336="","",IFERROR(INDEX(PackRates!$C:$C,MATCH(1,INDEX((PackRates!$A$1:$A$500=G336)*(PackRates!$B$1:$B$500=H336),0),0)),""))</f>
        <v/>
      </c>
      <c r="K336" s="38">
        <f>IF(OR(I336="",J336=""),"",IFERROR(I336*J336*INDEX(Products!$K:$K,MATCH(G336,Products!$A:$A,0)),""))</f>
        <v/>
      </c>
      <c r="L336" s="38">
        <f>IF(A336="","",IF(A336=A335,M335+1,1))</f>
        <v/>
      </c>
      <c r="M336" s="38">
        <f>IF(OR(L336="",I336=""),"",L336+I336-1)</f>
        <v/>
      </c>
      <c r="N336" s="38">
        <f>IF(A336="","",SUMIF($A$2:$A$500,A336,$I$2:$I$500))</f>
        <v/>
      </c>
    </row>
    <row r="337" ht="15" customHeight="1" s="22">
      <c r="J337" s="38">
        <f>IF(G337="","",IFERROR(INDEX(PackRates!$C:$C,MATCH(1,INDEX((PackRates!$A$1:$A$500=G337)*(PackRates!$B$1:$B$500=H337),0),0)),""))</f>
        <v/>
      </c>
      <c r="K337" s="38">
        <f>IF(OR(I337="",J337=""),"",IFERROR(I337*J337*INDEX(Products!$K:$K,MATCH(G337,Products!$A:$A,0)),""))</f>
        <v/>
      </c>
      <c r="L337" s="38">
        <f>IF(A337="","",IF(A337=A336,M336+1,1))</f>
        <v/>
      </c>
      <c r="M337" s="38">
        <f>IF(OR(L337="",I337=""),"",L337+I337-1)</f>
        <v/>
      </c>
      <c r="N337" s="38">
        <f>IF(A337="","",SUMIF($A$2:$A$500,A337,$I$2:$I$500))</f>
        <v/>
      </c>
    </row>
    <row r="338" ht="15" customHeight="1" s="22">
      <c r="J338" s="38">
        <f>IF(G338="","",IFERROR(INDEX(PackRates!$C:$C,MATCH(1,INDEX((PackRates!$A$1:$A$500=G338)*(PackRates!$B$1:$B$500=H338),0),0)),""))</f>
        <v/>
      </c>
      <c r="K338" s="38">
        <f>IF(OR(I338="",J338=""),"",IFERROR(I338*J338*INDEX(Products!$K:$K,MATCH(G338,Products!$A:$A,0)),""))</f>
        <v/>
      </c>
      <c r="L338" s="38">
        <f>IF(A338="","",IF(A338=A337,M337+1,1))</f>
        <v/>
      </c>
      <c r="M338" s="38">
        <f>IF(OR(L338="",I338=""),"",L338+I338-1)</f>
        <v/>
      </c>
      <c r="N338" s="38">
        <f>IF(A338="","",SUMIF($A$2:$A$500,A338,$I$2:$I$500))</f>
        <v/>
      </c>
    </row>
    <row r="339" ht="15" customHeight="1" s="22">
      <c r="J339" s="38">
        <f>IF(G339="","",IFERROR(INDEX(PackRates!$C:$C,MATCH(1,INDEX((PackRates!$A$1:$A$500=G339)*(PackRates!$B$1:$B$500=H339),0),0)),""))</f>
        <v/>
      </c>
      <c r="K339" s="38">
        <f>IF(OR(I339="",J339=""),"",IFERROR(I339*J339*INDEX(Products!$K:$K,MATCH(G339,Products!$A:$A,0)),""))</f>
        <v/>
      </c>
      <c r="L339" s="38">
        <f>IF(A339="","",IF(A339=A338,M338+1,1))</f>
        <v/>
      </c>
      <c r="M339" s="38">
        <f>IF(OR(L339="",I339=""),"",L339+I339-1)</f>
        <v/>
      </c>
      <c r="N339" s="38">
        <f>IF(A339="","",SUMIF($A$2:$A$500,A339,$I$2:$I$500))</f>
        <v/>
      </c>
    </row>
    <row r="340" ht="15" customHeight="1" s="22">
      <c r="J340" s="38">
        <f>IF(G340="","",IFERROR(INDEX(PackRates!$C:$C,MATCH(1,INDEX((PackRates!$A$1:$A$500=G340)*(PackRates!$B$1:$B$500=H340),0),0)),""))</f>
        <v/>
      </c>
      <c r="K340" s="38">
        <f>IF(OR(I340="",J340=""),"",IFERROR(I340*J340*INDEX(Products!$K:$K,MATCH(G340,Products!$A:$A,0)),""))</f>
        <v/>
      </c>
      <c r="L340" s="38">
        <f>IF(A340="","",IF(A340=A339,M339+1,1))</f>
        <v/>
      </c>
      <c r="M340" s="38">
        <f>IF(OR(L340="",I340=""),"",L340+I340-1)</f>
        <v/>
      </c>
      <c r="N340" s="38">
        <f>IF(A340="","",SUMIF($A$2:$A$500,A340,$I$2:$I$500))</f>
        <v/>
      </c>
    </row>
    <row r="341" ht="15" customHeight="1" s="22">
      <c r="J341" s="38">
        <f>IF(G341="","",IFERROR(INDEX(PackRates!$C:$C,MATCH(1,INDEX((PackRates!$A$1:$A$500=G341)*(PackRates!$B$1:$B$500=H341),0),0)),""))</f>
        <v/>
      </c>
      <c r="K341" s="38">
        <f>IF(OR(I341="",J341=""),"",IFERROR(I341*J341*INDEX(Products!$K:$K,MATCH(G341,Products!$A:$A,0)),""))</f>
        <v/>
      </c>
      <c r="L341" s="38">
        <f>IF(A341="","",IF(A341=A340,M340+1,1))</f>
        <v/>
      </c>
      <c r="M341" s="38">
        <f>IF(OR(L341="",I341=""),"",L341+I341-1)</f>
        <v/>
      </c>
      <c r="N341" s="38">
        <f>IF(A341="","",SUMIF($A$2:$A$500,A341,$I$2:$I$500))</f>
        <v/>
      </c>
    </row>
    <row r="342" ht="15" customHeight="1" s="22">
      <c r="J342" s="38">
        <f>IF(G342="","",IFERROR(INDEX(PackRates!$C:$C,MATCH(1,INDEX((PackRates!$A$1:$A$500=G342)*(PackRates!$B$1:$B$500=H342),0),0)),""))</f>
        <v/>
      </c>
      <c r="K342" s="38">
        <f>IF(OR(I342="",J342=""),"",IFERROR(I342*J342*INDEX(Products!$K:$K,MATCH(G342,Products!$A:$A,0)),""))</f>
        <v/>
      </c>
      <c r="L342" s="38">
        <f>IF(A342="","",IF(A342=A341,M341+1,1))</f>
        <v/>
      </c>
      <c r="M342" s="38">
        <f>IF(OR(L342="",I342=""),"",L342+I342-1)</f>
        <v/>
      </c>
      <c r="N342" s="38">
        <f>IF(A342="","",SUMIF($A$2:$A$500,A342,$I$2:$I$500))</f>
        <v/>
      </c>
    </row>
    <row r="343" ht="15" customHeight="1" s="22">
      <c r="J343" s="38">
        <f>IF(G343="","",IFERROR(INDEX(PackRates!$C:$C,MATCH(1,INDEX((PackRates!$A$1:$A$500=G343)*(PackRates!$B$1:$B$500=H343),0),0)),""))</f>
        <v/>
      </c>
      <c r="K343" s="38">
        <f>IF(OR(I343="",J343=""),"",IFERROR(I343*J343*INDEX(Products!$K:$K,MATCH(G343,Products!$A:$A,0)),""))</f>
        <v/>
      </c>
      <c r="L343" s="38">
        <f>IF(A343="","",IF(A343=A342,M342+1,1))</f>
        <v/>
      </c>
      <c r="M343" s="38">
        <f>IF(OR(L343="",I343=""),"",L343+I343-1)</f>
        <v/>
      </c>
      <c r="N343" s="38">
        <f>IF(A343="","",SUMIF($A$2:$A$500,A343,$I$2:$I$500))</f>
        <v/>
      </c>
    </row>
    <row r="344" ht="15" customHeight="1" s="22">
      <c r="J344" s="38">
        <f>IF(G344="","",IFERROR(INDEX(PackRates!$C:$C,MATCH(1,INDEX((PackRates!$A$1:$A$500=G344)*(PackRates!$B$1:$B$500=H344),0),0)),""))</f>
        <v/>
      </c>
      <c r="K344" s="38">
        <f>IF(OR(I344="",J344=""),"",IFERROR(I344*J344*INDEX(Products!$K:$K,MATCH(G344,Products!$A:$A,0)),""))</f>
        <v/>
      </c>
      <c r="L344" s="38">
        <f>IF(A344="","",IF(A344=A343,M343+1,1))</f>
        <v/>
      </c>
      <c r="M344" s="38">
        <f>IF(OR(L344="",I344=""),"",L344+I344-1)</f>
        <v/>
      </c>
      <c r="N344" s="38">
        <f>IF(A344="","",SUMIF($A$2:$A$500,A344,$I$2:$I$500))</f>
        <v/>
      </c>
    </row>
    <row r="345" ht="15" customHeight="1" s="22">
      <c r="J345" s="38">
        <f>IF(G345="","",IFERROR(INDEX(PackRates!$C:$C,MATCH(1,INDEX((PackRates!$A$1:$A$500=G345)*(PackRates!$B$1:$B$500=H345),0),0)),""))</f>
        <v/>
      </c>
      <c r="K345" s="38">
        <f>IF(OR(I345="",J345=""),"",IFERROR(I345*J345*INDEX(Products!$K:$K,MATCH(G345,Products!$A:$A,0)),""))</f>
        <v/>
      </c>
      <c r="L345" s="38">
        <f>IF(A345="","",IF(A345=A344,M344+1,1))</f>
        <v/>
      </c>
      <c r="M345" s="38">
        <f>IF(OR(L345="",I345=""),"",L345+I345-1)</f>
        <v/>
      </c>
      <c r="N345" s="38">
        <f>IF(A345="","",SUMIF($A$2:$A$500,A345,$I$2:$I$500))</f>
        <v/>
      </c>
    </row>
    <row r="346" ht="15" customHeight="1" s="22">
      <c r="J346" s="38">
        <f>IF(G346="","",IFERROR(INDEX(PackRates!$C:$C,MATCH(1,INDEX((PackRates!$A$1:$A$500=G346)*(PackRates!$B$1:$B$500=H346),0),0)),""))</f>
        <v/>
      </c>
      <c r="K346" s="38">
        <f>IF(OR(I346="",J346=""),"",IFERROR(I346*J346*INDEX(Products!$K:$K,MATCH(G346,Products!$A:$A,0)),""))</f>
        <v/>
      </c>
      <c r="L346" s="38">
        <f>IF(A346="","",IF(A346=A345,M345+1,1))</f>
        <v/>
      </c>
      <c r="M346" s="38">
        <f>IF(OR(L346="",I346=""),"",L346+I346-1)</f>
        <v/>
      </c>
      <c r="N346" s="38">
        <f>IF(A346="","",SUMIF($A$2:$A$500,A346,$I$2:$I$500))</f>
        <v/>
      </c>
    </row>
    <row r="347" ht="15" customHeight="1" s="22">
      <c r="J347" s="38">
        <f>IF(G347="","",IFERROR(INDEX(PackRates!$C:$C,MATCH(1,INDEX((PackRates!$A$1:$A$500=G347)*(PackRates!$B$1:$B$500=H347),0),0)),""))</f>
        <v/>
      </c>
      <c r="K347" s="38">
        <f>IF(OR(I347="",J347=""),"",IFERROR(I347*J347*INDEX(Products!$K:$K,MATCH(G347,Products!$A:$A,0)),""))</f>
        <v/>
      </c>
      <c r="L347" s="38">
        <f>IF(A347="","",IF(A347=A346,M346+1,1))</f>
        <v/>
      </c>
      <c r="M347" s="38">
        <f>IF(OR(L347="",I347=""),"",L347+I347-1)</f>
        <v/>
      </c>
      <c r="N347" s="38">
        <f>IF(A347="","",SUMIF($A$2:$A$500,A347,$I$2:$I$500))</f>
        <v/>
      </c>
    </row>
    <row r="348" ht="15" customHeight="1" s="22">
      <c r="J348" s="38">
        <f>IF(G348="","",IFERROR(INDEX(PackRates!$C:$C,MATCH(1,INDEX((PackRates!$A$1:$A$500=G348)*(PackRates!$B$1:$B$500=H348),0),0)),""))</f>
        <v/>
      </c>
      <c r="K348" s="38">
        <f>IF(OR(I348="",J348=""),"",IFERROR(I348*J348*INDEX(Products!$K:$K,MATCH(G348,Products!$A:$A,0)),""))</f>
        <v/>
      </c>
      <c r="L348" s="38">
        <f>IF(A348="","",IF(A348=A347,M347+1,1))</f>
        <v/>
      </c>
      <c r="M348" s="38">
        <f>IF(OR(L348="",I348=""),"",L348+I348-1)</f>
        <v/>
      </c>
      <c r="N348" s="38">
        <f>IF(A348="","",SUMIF($A$2:$A$500,A348,$I$2:$I$500))</f>
        <v/>
      </c>
    </row>
    <row r="349" ht="15" customHeight="1" s="22">
      <c r="J349" s="38">
        <f>IF(G349="","",IFERROR(INDEX(PackRates!$C:$C,MATCH(1,INDEX((PackRates!$A$1:$A$500=G349)*(PackRates!$B$1:$B$500=H349),0),0)),""))</f>
        <v/>
      </c>
      <c r="K349" s="38">
        <f>IF(OR(I349="",J349=""),"",IFERROR(I349*J349*INDEX(Products!$K:$K,MATCH(G349,Products!$A:$A,0)),""))</f>
        <v/>
      </c>
      <c r="L349" s="38">
        <f>IF(A349="","",IF(A349=A348,M348+1,1))</f>
        <v/>
      </c>
      <c r="M349" s="38">
        <f>IF(OR(L349="",I349=""),"",L349+I349-1)</f>
        <v/>
      </c>
      <c r="N349" s="38">
        <f>IF(A349="","",SUMIF($A$2:$A$500,A349,$I$2:$I$500))</f>
        <v/>
      </c>
    </row>
    <row r="350" ht="15" customHeight="1" s="22">
      <c r="J350" s="38">
        <f>IF(G350="","",IFERROR(INDEX(PackRates!$C:$C,MATCH(1,INDEX((PackRates!$A$1:$A$500=G350)*(PackRates!$B$1:$B$500=H350),0),0)),""))</f>
        <v/>
      </c>
      <c r="K350" s="38">
        <f>IF(OR(I350="",J350=""),"",IFERROR(I350*J350*INDEX(Products!$K:$K,MATCH(G350,Products!$A:$A,0)),""))</f>
        <v/>
      </c>
      <c r="L350" s="38">
        <f>IF(A350="","",IF(A350=A349,M349+1,1))</f>
        <v/>
      </c>
      <c r="M350" s="38">
        <f>IF(OR(L350="",I350=""),"",L350+I350-1)</f>
        <v/>
      </c>
      <c r="N350" s="38">
        <f>IF(A350="","",SUMIF($A$2:$A$500,A350,$I$2:$I$500))</f>
        <v/>
      </c>
    </row>
    <row r="351" ht="15" customHeight="1" s="22">
      <c r="J351" s="38">
        <f>IF(G351="","",IFERROR(INDEX(PackRates!$C:$C,MATCH(1,INDEX((PackRates!$A$1:$A$500=G351)*(PackRates!$B$1:$B$500=H351),0),0)),""))</f>
        <v/>
      </c>
      <c r="K351" s="38">
        <f>IF(OR(I351="",J351=""),"",IFERROR(I351*J351*INDEX(Products!$K:$K,MATCH(G351,Products!$A:$A,0)),""))</f>
        <v/>
      </c>
      <c r="L351" s="38">
        <f>IF(A351="","",IF(A351=A350,M350+1,1))</f>
        <v/>
      </c>
      <c r="M351" s="38">
        <f>IF(OR(L351="",I351=""),"",L351+I351-1)</f>
        <v/>
      </c>
      <c r="N351" s="38">
        <f>IF(A351="","",SUMIF($A$2:$A$500,A351,$I$2:$I$500))</f>
        <v/>
      </c>
    </row>
    <row r="352" ht="15" customHeight="1" s="22">
      <c r="J352" s="38">
        <f>IF(G352="","",IFERROR(INDEX(PackRates!$C:$C,MATCH(1,INDEX((PackRates!$A$1:$A$500=G352)*(PackRates!$B$1:$B$500=H352),0),0)),""))</f>
        <v/>
      </c>
      <c r="K352" s="38">
        <f>IF(OR(I352="",J352=""),"",IFERROR(I352*J352*INDEX(Products!$K:$K,MATCH(G352,Products!$A:$A,0)),""))</f>
        <v/>
      </c>
      <c r="L352" s="38">
        <f>IF(A352="","",IF(A352=A351,M351+1,1))</f>
        <v/>
      </c>
      <c r="M352" s="38">
        <f>IF(OR(L352="",I352=""),"",L352+I352-1)</f>
        <v/>
      </c>
      <c r="N352" s="38">
        <f>IF(A352="","",SUMIF($A$2:$A$500,A352,$I$2:$I$500))</f>
        <v/>
      </c>
    </row>
    <row r="353" ht="15" customHeight="1" s="22">
      <c r="J353" s="38">
        <f>IF(G353="","",IFERROR(INDEX(PackRates!$C:$C,MATCH(1,INDEX((PackRates!$A$1:$A$500=G353)*(PackRates!$B$1:$B$500=H353),0),0)),""))</f>
        <v/>
      </c>
      <c r="K353" s="38">
        <f>IF(OR(I353="",J353=""),"",IFERROR(I353*J353*INDEX(Products!$K:$K,MATCH(G353,Products!$A:$A,0)),""))</f>
        <v/>
      </c>
      <c r="L353" s="38">
        <f>IF(A353="","",IF(A353=A352,M352+1,1))</f>
        <v/>
      </c>
      <c r="M353" s="38">
        <f>IF(OR(L353="",I353=""),"",L353+I353-1)</f>
        <v/>
      </c>
      <c r="N353" s="38">
        <f>IF(A353="","",SUMIF($A$2:$A$500,A353,$I$2:$I$500))</f>
        <v/>
      </c>
    </row>
    <row r="354" ht="15" customHeight="1" s="22">
      <c r="J354" s="38">
        <f>IF(G354="","",IFERROR(INDEX(PackRates!$C:$C,MATCH(1,INDEX((PackRates!$A$1:$A$500=G354)*(PackRates!$B$1:$B$500=H354),0),0)),""))</f>
        <v/>
      </c>
      <c r="K354" s="38">
        <f>IF(OR(I354="",J354=""),"",IFERROR(I354*J354*INDEX(Products!$K:$K,MATCH(G354,Products!$A:$A,0)),""))</f>
        <v/>
      </c>
      <c r="L354" s="38">
        <f>IF(A354="","",IF(A354=A353,M353+1,1))</f>
        <v/>
      </c>
      <c r="M354" s="38">
        <f>IF(OR(L354="",I354=""),"",L354+I354-1)</f>
        <v/>
      </c>
      <c r="N354" s="38">
        <f>IF(A354="","",SUMIF($A$2:$A$500,A354,$I$2:$I$500))</f>
        <v/>
      </c>
    </row>
    <row r="355" ht="15" customHeight="1" s="22">
      <c r="J355" s="38">
        <f>IF(G355="","",IFERROR(INDEX(PackRates!$C:$C,MATCH(1,INDEX((PackRates!$A$1:$A$500=G355)*(PackRates!$B$1:$B$500=H355),0),0)),""))</f>
        <v/>
      </c>
      <c r="K355" s="38">
        <f>IF(OR(I355="",J355=""),"",IFERROR(I355*J355*INDEX(Products!$K:$K,MATCH(G355,Products!$A:$A,0)),""))</f>
        <v/>
      </c>
      <c r="L355" s="38">
        <f>IF(A355="","",IF(A355=A354,M354+1,1))</f>
        <v/>
      </c>
      <c r="M355" s="38">
        <f>IF(OR(L355="",I355=""),"",L355+I355-1)</f>
        <v/>
      </c>
      <c r="N355" s="38">
        <f>IF(A355="","",SUMIF($A$2:$A$500,A355,$I$2:$I$500))</f>
        <v/>
      </c>
    </row>
    <row r="356" ht="15" customHeight="1" s="22">
      <c r="J356" s="38">
        <f>IF(G356="","",IFERROR(INDEX(PackRates!$C:$C,MATCH(1,INDEX((PackRates!$A$1:$A$500=G356)*(PackRates!$B$1:$B$500=H356),0),0)),""))</f>
        <v/>
      </c>
      <c r="K356" s="38">
        <f>IF(OR(I356="",J356=""),"",IFERROR(I356*J356*INDEX(Products!$K:$K,MATCH(G356,Products!$A:$A,0)),""))</f>
        <v/>
      </c>
      <c r="L356" s="38">
        <f>IF(A356="","",IF(A356=A355,M355+1,1))</f>
        <v/>
      </c>
      <c r="M356" s="38">
        <f>IF(OR(L356="",I356=""),"",L356+I356-1)</f>
        <v/>
      </c>
      <c r="N356" s="38">
        <f>IF(A356="","",SUMIF($A$2:$A$500,A356,$I$2:$I$500))</f>
        <v/>
      </c>
    </row>
    <row r="357" ht="15" customHeight="1" s="22">
      <c r="J357" s="38">
        <f>IF(G357="","",IFERROR(INDEX(PackRates!$C:$C,MATCH(1,INDEX((PackRates!$A$1:$A$500=G357)*(PackRates!$B$1:$B$500=H357),0),0)),""))</f>
        <v/>
      </c>
      <c r="K357" s="38">
        <f>IF(OR(I357="",J357=""),"",IFERROR(I357*J357*INDEX(Products!$K:$K,MATCH(G357,Products!$A:$A,0)),""))</f>
        <v/>
      </c>
      <c r="L357" s="38">
        <f>IF(A357="","",IF(A357=A356,M356+1,1))</f>
        <v/>
      </c>
      <c r="M357" s="38">
        <f>IF(OR(L357="",I357=""),"",L357+I357-1)</f>
        <v/>
      </c>
      <c r="N357" s="38">
        <f>IF(A357="","",SUMIF($A$2:$A$500,A357,$I$2:$I$500))</f>
        <v/>
      </c>
    </row>
    <row r="358" ht="15" customHeight="1" s="22">
      <c r="J358" s="38">
        <f>IF(G358="","",IFERROR(INDEX(PackRates!$C:$C,MATCH(1,INDEX((PackRates!$A$1:$A$500=G358)*(PackRates!$B$1:$B$500=H358),0),0)),""))</f>
        <v/>
      </c>
      <c r="K358" s="38">
        <f>IF(OR(I358="",J358=""),"",IFERROR(I358*J358*INDEX(Products!$K:$K,MATCH(G358,Products!$A:$A,0)),""))</f>
        <v/>
      </c>
      <c r="L358" s="38">
        <f>IF(A358="","",IF(A358=A357,M357+1,1))</f>
        <v/>
      </c>
      <c r="M358" s="38">
        <f>IF(OR(L358="",I358=""),"",L358+I358-1)</f>
        <v/>
      </c>
      <c r="N358" s="38">
        <f>IF(A358="","",SUMIF($A$2:$A$500,A358,$I$2:$I$500))</f>
        <v/>
      </c>
    </row>
    <row r="359" ht="15" customHeight="1" s="22">
      <c r="J359" s="38">
        <f>IF(G359="","",IFERROR(INDEX(PackRates!$C:$C,MATCH(1,INDEX((PackRates!$A$1:$A$500=G359)*(PackRates!$B$1:$B$500=H359),0),0)),""))</f>
        <v/>
      </c>
      <c r="K359" s="38">
        <f>IF(OR(I359="",J359=""),"",IFERROR(I359*J359*INDEX(Products!$K:$K,MATCH(G359,Products!$A:$A,0)),""))</f>
        <v/>
      </c>
      <c r="L359" s="38">
        <f>IF(A359="","",IF(A359=A358,M358+1,1))</f>
        <v/>
      </c>
      <c r="M359" s="38">
        <f>IF(OR(L359="",I359=""),"",L359+I359-1)</f>
        <v/>
      </c>
      <c r="N359" s="38">
        <f>IF(A359="","",SUMIF($A$2:$A$500,A359,$I$2:$I$500))</f>
        <v/>
      </c>
    </row>
    <row r="360" ht="15" customHeight="1" s="22">
      <c r="J360" s="38">
        <f>IF(G360="","",IFERROR(INDEX(PackRates!$C:$C,MATCH(1,INDEX((PackRates!$A$1:$A$500=G360)*(PackRates!$B$1:$B$500=H360),0),0)),""))</f>
        <v/>
      </c>
      <c r="K360" s="38">
        <f>IF(OR(I360="",J360=""),"",IFERROR(I360*J360*INDEX(Products!$K:$K,MATCH(G360,Products!$A:$A,0)),""))</f>
        <v/>
      </c>
      <c r="L360" s="38">
        <f>IF(A360="","",IF(A360=A359,M359+1,1))</f>
        <v/>
      </c>
      <c r="M360" s="38">
        <f>IF(OR(L360="",I360=""),"",L360+I360-1)</f>
        <v/>
      </c>
      <c r="N360" s="38">
        <f>IF(A360="","",SUMIF($A$2:$A$500,A360,$I$2:$I$500))</f>
        <v/>
      </c>
    </row>
    <row r="361" ht="15" customHeight="1" s="22">
      <c r="J361" s="38">
        <f>IF(G361="","",IFERROR(INDEX(PackRates!$C:$C,MATCH(1,INDEX((PackRates!$A$1:$A$500=G361)*(PackRates!$B$1:$B$500=H361),0),0)),""))</f>
        <v/>
      </c>
      <c r="K361" s="38">
        <f>IF(OR(I361="",J361=""),"",IFERROR(I361*J361*INDEX(Products!$K:$K,MATCH(G361,Products!$A:$A,0)),""))</f>
        <v/>
      </c>
      <c r="L361" s="38">
        <f>IF(A361="","",IF(A361=A360,M360+1,1))</f>
        <v/>
      </c>
      <c r="M361" s="38">
        <f>IF(OR(L361="",I361=""),"",L361+I361-1)</f>
        <v/>
      </c>
      <c r="N361" s="38">
        <f>IF(A361="","",SUMIF($A$2:$A$500,A361,$I$2:$I$500))</f>
        <v/>
      </c>
    </row>
    <row r="362" ht="15" customHeight="1" s="22">
      <c r="J362" s="38">
        <f>IF(G362="","",IFERROR(INDEX(PackRates!$C:$C,MATCH(1,INDEX((PackRates!$A$1:$A$500=G362)*(PackRates!$B$1:$B$500=H362),0),0)),""))</f>
        <v/>
      </c>
      <c r="K362" s="38">
        <f>IF(OR(I362="",J362=""),"",IFERROR(I362*J362*INDEX(Products!$K:$K,MATCH(G362,Products!$A:$A,0)),""))</f>
        <v/>
      </c>
      <c r="L362" s="38">
        <f>IF(A362="","",IF(A362=A361,M361+1,1))</f>
        <v/>
      </c>
      <c r="M362" s="38">
        <f>IF(OR(L362="",I362=""),"",L362+I362-1)</f>
        <v/>
      </c>
      <c r="N362" s="38">
        <f>IF(A362="","",SUMIF($A$2:$A$500,A362,$I$2:$I$500))</f>
        <v/>
      </c>
    </row>
    <row r="363" ht="15" customHeight="1" s="22">
      <c r="J363" s="38">
        <f>IF(G363="","",IFERROR(INDEX(PackRates!$C:$C,MATCH(1,INDEX((PackRates!$A$1:$A$500=G363)*(PackRates!$B$1:$B$500=H363),0),0)),""))</f>
        <v/>
      </c>
      <c r="K363" s="38">
        <f>IF(OR(I363="",J363=""),"",IFERROR(I363*J363*INDEX(Products!$K:$K,MATCH(G363,Products!$A:$A,0)),""))</f>
        <v/>
      </c>
      <c r="L363" s="38">
        <f>IF(A363="","",IF(A363=A362,M362+1,1))</f>
        <v/>
      </c>
      <c r="M363" s="38">
        <f>IF(OR(L363="",I363=""),"",L363+I363-1)</f>
        <v/>
      </c>
      <c r="N363" s="38">
        <f>IF(A363="","",SUMIF($A$2:$A$500,A363,$I$2:$I$500))</f>
        <v/>
      </c>
    </row>
    <row r="364" ht="15" customHeight="1" s="22">
      <c r="J364" s="38">
        <f>IF(G364="","",IFERROR(INDEX(PackRates!$C:$C,MATCH(1,INDEX((PackRates!$A$1:$A$500=G364)*(PackRates!$B$1:$B$500=H364),0),0)),""))</f>
        <v/>
      </c>
      <c r="K364" s="38">
        <f>IF(OR(I364="",J364=""),"",IFERROR(I364*J364*INDEX(Products!$K:$K,MATCH(G364,Products!$A:$A,0)),""))</f>
        <v/>
      </c>
      <c r="L364" s="38">
        <f>IF(A364="","",IF(A364=A363,M363+1,1))</f>
        <v/>
      </c>
      <c r="M364" s="38">
        <f>IF(OR(L364="",I364=""),"",L364+I364-1)</f>
        <v/>
      </c>
      <c r="N364" s="38">
        <f>IF(A364="","",SUMIF($A$2:$A$500,A364,$I$2:$I$500))</f>
        <v/>
      </c>
    </row>
    <row r="365" ht="15" customHeight="1" s="22">
      <c r="J365" s="38">
        <f>IF(G365="","",IFERROR(INDEX(PackRates!$C:$C,MATCH(1,INDEX((PackRates!$A$1:$A$500=G365)*(PackRates!$B$1:$B$500=H365),0),0)),""))</f>
        <v/>
      </c>
      <c r="K365" s="38">
        <f>IF(OR(I365="",J365=""),"",IFERROR(I365*J365*INDEX(Products!$K:$K,MATCH(G365,Products!$A:$A,0)),""))</f>
        <v/>
      </c>
      <c r="L365" s="38">
        <f>IF(A365="","",IF(A365=A364,M364+1,1))</f>
        <v/>
      </c>
      <c r="M365" s="38">
        <f>IF(OR(L365="",I365=""),"",L365+I365-1)</f>
        <v/>
      </c>
      <c r="N365" s="38">
        <f>IF(A365="","",SUMIF($A$2:$A$500,A365,$I$2:$I$500))</f>
        <v/>
      </c>
    </row>
    <row r="366" ht="15" customHeight="1" s="22">
      <c r="J366" s="38">
        <f>IF(G366="","",IFERROR(INDEX(PackRates!$C:$C,MATCH(1,INDEX((PackRates!$A$1:$A$500=G366)*(PackRates!$B$1:$B$500=H366),0),0)),""))</f>
        <v/>
      </c>
      <c r="K366" s="38">
        <f>IF(OR(I366="",J366=""),"",IFERROR(I366*J366*INDEX(Products!$K:$K,MATCH(G366,Products!$A:$A,0)),""))</f>
        <v/>
      </c>
      <c r="L366" s="38">
        <f>IF(A366="","",IF(A366=A365,M365+1,1))</f>
        <v/>
      </c>
      <c r="M366" s="38">
        <f>IF(OR(L366="",I366=""),"",L366+I366-1)</f>
        <v/>
      </c>
      <c r="N366" s="38">
        <f>IF(A366="","",SUMIF($A$2:$A$500,A366,$I$2:$I$500))</f>
        <v/>
      </c>
    </row>
    <row r="367" ht="15" customHeight="1" s="22">
      <c r="J367" s="38">
        <f>IF(G367="","",IFERROR(INDEX(PackRates!$C:$C,MATCH(1,INDEX((PackRates!$A$1:$A$500=G367)*(PackRates!$B$1:$B$500=H367),0),0)),""))</f>
        <v/>
      </c>
      <c r="K367" s="38">
        <f>IF(OR(I367="",J367=""),"",IFERROR(I367*J367*INDEX(Products!$K:$K,MATCH(G367,Products!$A:$A,0)),""))</f>
        <v/>
      </c>
      <c r="L367" s="38">
        <f>IF(A367="","",IF(A367=A366,M366+1,1))</f>
        <v/>
      </c>
      <c r="M367" s="38">
        <f>IF(OR(L367="",I367=""),"",L367+I367-1)</f>
        <v/>
      </c>
      <c r="N367" s="38">
        <f>IF(A367="","",SUMIF($A$2:$A$500,A367,$I$2:$I$500))</f>
        <v/>
      </c>
    </row>
    <row r="368" ht="15" customHeight="1" s="22">
      <c r="J368" s="38">
        <f>IF(G368="","",IFERROR(INDEX(PackRates!$C:$C,MATCH(1,INDEX((PackRates!$A$1:$A$500=G368)*(PackRates!$B$1:$B$500=H368),0),0)),""))</f>
        <v/>
      </c>
      <c r="K368" s="38">
        <f>IF(OR(I368="",J368=""),"",IFERROR(I368*J368*INDEX(Products!$K:$K,MATCH(G368,Products!$A:$A,0)),""))</f>
        <v/>
      </c>
      <c r="L368" s="38">
        <f>IF(A368="","",IF(A368=A367,M367+1,1))</f>
        <v/>
      </c>
      <c r="M368" s="38">
        <f>IF(OR(L368="",I368=""),"",L368+I368-1)</f>
        <v/>
      </c>
      <c r="N368" s="38">
        <f>IF(A368="","",SUMIF($A$2:$A$500,A368,$I$2:$I$500))</f>
        <v/>
      </c>
    </row>
    <row r="369" ht="15" customHeight="1" s="22">
      <c r="J369" s="38">
        <f>IF(G369="","",IFERROR(INDEX(PackRates!$C:$C,MATCH(1,INDEX((PackRates!$A$1:$A$500=G369)*(PackRates!$B$1:$B$500=H369),0),0)),""))</f>
        <v/>
      </c>
      <c r="K369" s="38">
        <f>IF(OR(I369="",J369=""),"",IFERROR(I369*J369*INDEX(Products!$K:$K,MATCH(G369,Products!$A:$A,0)),""))</f>
        <v/>
      </c>
      <c r="L369" s="38">
        <f>IF(A369="","",IF(A369=A368,M368+1,1))</f>
        <v/>
      </c>
      <c r="M369" s="38">
        <f>IF(OR(L369="",I369=""),"",L369+I369-1)</f>
        <v/>
      </c>
      <c r="N369" s="38">
        <f>IF(A369="","",SUMIF($A$2:$A$500,A369,$I$2:$I$500))</f>
        <v/>
      </c>
    </row>
    <row r="370" ht="15" customHeight="1" s="22">
      <c r="J370" s="38">
        <f>IF(G370="","",IFERROR(INDEX(PackRates!$C:$C,MATCH(1,INDEX((PackRates!$A$1:$A$500=G370)*(PackRates!$B$1:$B$500=H370),0),0)),""))</f>
        <v/>
      </c>
      <c r="K370" s="38">
        <f>IF(OR(I370="",J370=""),"",IFERROR(I370*J370*INDEX(Products!$K:$K,MATCH(G370,Products!$A:$A,0)),""))</f>
        <v/>
      </c>
      <c r="L370" s="38">
        <f>IF(A370="","",IF(A370=A369,M369+1,1))</f>
        <v/>
      </c>
      <c r="M370" s="38">
        <f>IF(OR(L370="",I370=""),"",L370+I370-1)</f>
        <v/>
      </c>
      <c r="N370" s="38">
        <f>IF(A370="","",SUMIF($A$2:$A$500,A370,$I$2:$I$500))</f>
        <v/>
      </c>
    </row>
    <row r="371" ht="15" customHeight="1" s="22">
      <c r="J371" s="38">
        <f>IF(G371="","",IFERROR(INDEX(PackRates!$C:$C,MATCH(1,INDEX((PackRates!$A$1:$A$500=G371)*(PackRates!$B$1:$B$500=H371),0),0)),""))</f>
        <v/>
      </c>
      <c r="K371" s="38">
        <f>IF(OR(I371="",J371=""),"",IFERROR(I371*J371*INDEX(Products!$K:$K,MATCH(G371,Products!$A:$A,0)),""))</f>
        <v/>
      </c>
      <c r="L371" s="38">
        <f>IF(A371="","",IF(A371=A370,M370+1,1))</f>
        <v/>
      </c>
      <c r="M371" s="38">
        <f>IF(OR(L371="",I371=""),"",L371+I371-1)</f>
        <v/>
      </c>
      <c r="N371" s="38">
        <f>IF(A371="","",SUMIF($A$2:$A$500,A371,$I$2:$I$500))</f>
        <v/>
      </c>
    </row>
    <row r="372" ht="15" customHeight="1" s="22">
      <c r="J372" s="38">
        <f>IF(G372="","",IFERROR(INDEX(PackRates!$C:$C,MATCH(1,INDEX((PackRates!$A$1:$A$500=G372)*(PackRates!$B$1:$B$500=H372),0),0)),""))</f>
        <v/>
      </c>
      <c r="K372" s="38">
        <f>IF(OR(I372="",J372=""),"",IFERROR(I372*J372*INDEX(Products!$K:$K,MATCH(G372,Products!$A:$A,0)),""))</f>
        <v/>
      </c>
      <c r="L372" s="38">
        <f>IF(A372="","",IF(A372=A371,M371+1,1))</f>
        <v/>
      </c>
      <c r="M372" s="38">
        <f>IF(OR(L372="",I372=""),"",L372+I372-1)</f>
        <v/>
      </c>
      <c r="N372" s="38">
        <f>IF(A372="","",SUMIF($A$2:$A$500,A372,$I$2:$I$500))</f>
        <v/>
      </c>
    </row>
    <row r="373" ht="15" customHeight="1" s="22">
      <c r="J373" s="38">
        <f>IF(G373="","",IFERROR(INDEX(PackRates!$C:$C,MATCH(1,INDEX((PackRates!$A$1:$A$500=G373)*(PackRates!$B$1:$B$500=H373),0),0)),""))</f>
        <v/>
      </c>
      <c r="K373" s="38">
        <f>IF(OR(I373="",J373=""),"",IFERROR(I373*J373*INDEX(Products!$K:$K,MATCH(G373,Products!$A:$A,0)),""))</f>
        <v/>
      </c>
      <c r="L373" s="38">
        <f>IF(A373="","",IF(A373=A372,M372+1,1))</f>
        <v/>
      </c>
      <c r="M373" s="38">
        <f>IF(OR(L373="",I373=""),"",L373+I373-1)</f>
        <v/>
      </c>
      <c r="N373" s="38">
        <f>IF(A373="","",SUMIF($A$2:$A$500,A373,$I$2:$I$500))</f>
        <v/>
      </c>
    </row>
    <row r="374" ht="15" customHeight="1" s="22">
      <c r="J374" s="38">
        <f>IF(G374="","",IFERROR(INDEX(PackRates!$C:$C,MATCH(1,INDEX((PackRates!$A$1:$A$500=G374)*(PackRates!$B$1:$B$500=H374),0),0)),""))</f>
        <v/>
      </c>
      <c r="K374" s="38">
        <f>IF(OR(I374="",J374=""),"",IFERROR(I374*J374*INDEX(Products!$K:$K,MATCH(G374,Products!$A:$A,0)),""))</f>
        <v/>
      </c>
      <c r="L374" s="38">
        <f>IF(A374="","",IF(A374=A373,M373+1,1))</f>
        <v/>
      </c>
      <c r="M374" s="38">
        <f>IF(OR(L374="",I374=""),"",L374+I374-1)</f>
        <v/>
      </c>
      <c r="N374" s="38">
        <f>IF(A374="","",SUMIF($A$2:$A$500,A374,$I$2:$I$500))</f>
        <v/>
      </c>
    </row>
    <row r="375" ht="15" customHeight="1" s="22">
      <c r="J375" s="38">
        <f>IF(G375="","",IFERROR(INDEX(PackRates!$C:$C,MATCH(1,INDEX((PackRates!$A$1:$A$500=G375)*(PackRates!$B$1:$B$500=H375),0),0)),""))</f>
        <v/>
      </c>
      <c r="K375" s="38">
        <f>IF(OR(I375="",J375=""),"",IFERROR(I375*J375*INDEX(Products!$K:$K,MATCH(G375,Products!$A:$A,0)),""))</f>
        <v/>
      </c>
      <c r="L375" s="38">
        <f>IF(A375="","",IF(A375=A374,M374+1,1))</f>
        <v/>
      </c>
      <c r="M375" s="38">
        <f>IF(OR(L375="",I375=""),"",L375+I375-1)</f>
        <v/>
      </c>
      <c r="N375" s="38">
        <f>IF(A375="","",SUMIF($A$2:$A$500,A375,$I$2:$I$500))</f>
        <v/>
      </c>
    </row>
    <row r="376" ht="15" customHeight="1" s="22">
      <c r="J376" s="38">
        <f>IF(G376="","",IFERROR(INDEX(PackRates!$C:$C,MATCH(1,INDEX((PackRates!$A$1:$A$500=G376)*(PackRates!$B$1:$B$500=H376),0),0)),""))</f>
        <v/>
      </c>
      <c r="K376" s="38">
        <f>IF(OR(I376="",J376=""),"",IFERROR(I376*J376*INDEX(Products!$K:$K,MATCH(G376,Products!$A:$A,0)),""))</f>
        <v/>
      </c>
      <c r="L376" s="38">
        <f>IF(A376="","",IF(A376=A375,M375+1,1))</f>
        <v/>
      </c>
      <c r="M376" s="38">
        <f>IF(OR(L376="",I376=""),"",L376+I376-1)</f>
        <v/>
      </c>
      <c r="N376" s="38">
        <f>IF(A376="","",SUMIF($A$2:$A$500,A376,$I$2:$I$500))</f>
        <v/>
      </c>
    </row>
    <row r="377" ht="15" customHeight="1" s="22">
      <c r="J377" s="38">
        <f>IF(G377="","",IFERROR(INDEX(PackRates!$C:$C,MATCH(1,INDEX((PackRates!$A$1:$A$500=G377)*(PackRates!$B$1:$B$500=H377),0),0)),""))</f>
        <v/>
      </c>
      <c r="K377" s="38">
        <f>IF(OR(I377="",J377=""),"",IFERROR(I377*J377*INDEX(Products!$K:$K,MATCH(G377,Products!$A:$A,0)),""))</f>
        <v/>
      </c>
      <c r="L377" s="38">
        <f>IF(A377="","",IF(A377=A376,M376+1,1))</f>
        <v/>
      </c>
      <c r="M377" s="38">
        <f>IF(OR(L377="",I377=""),"",L377+I377-1)</f>
        <v/>
      </c>
      <c r="N377" s="38">
        <f>IF(A377="","",SUMIF($A$2:$A$500,A377,$I$2:$I$500))</f>
        <v/>
      </c>
    </row>
    <row r="378" ht="15" customHeight="1" s="22">
      <c r="J378" s="38">
        <f>IF(G378="","",IFERROR(INDEX(PackRates!$C:$C,MATCH(1,INDEX((PackRates!$A$1:$A$500=G378)*(PackRates!$B$1:$B$500=H378),0),0)),""))</f>
        <v/>
      </c>
      <c r="K378" s="38">
        <f>IF(OR(I378="",J378=""),"",IFERROR(I378*J378*INDEX(Products!$K:$K,MATCH(G378,Products!$A:$A,0)),""))</f>
        <v/>
      </c>
      <c r="L378" s="38">
        <f>IF(A378="","",IF(A378=A377,M377+1,1))</f>
        <v/>
      </c>
      <c r="M378" s="38">
        <f>IF(OR(L378="",I378=""),"",L378+I378-1)</f>
        <v/>
      </c>
      <c r="N378" s="38">
        <f>IF(A378="","",SUMIF($A$2:$A$500,A378,$I$2:$I$500))</f>
        <v/>
      </c>
    </row>
    <row r="379" ht="15" customHeight="1" s="22">
      <c r="J379" s="38">
        <f>IF(G379="","",IFERROR(INDEX(PackRates!$C:$C,MATCH(1,INDEX((PackRates!$A$1:$A$500=G379)*(PackRates!$B$1:$B$500=H379),0),0)),""))</f>
        <v/>
      </c>
      <c r="K379" s="38">
        <f>IF(OR(I379="",J379=""),"",IFERROR(I379*J379*INDEX(Products!$K:$K,MATCH(G379,Products!$A:$A,0)),""))</f>
        <v/>
      </c>
      <c r="L379" s="38">
        <f>IF(A379="","",IF(A379=A378,M378+1,1))</f>
        <v/>
      </c>
      <c r="M379" s="38">
        <f>IF(OR(L379="",I379=""),"",L379+I379-1)</f>
        <v/>
      </c>
      <c r="N379" s="38">
        <f>IF(A379="","",SUMIF($A$2:$A$500,A379,$I$2:$I$500))</f>
        <v/>
      </c>
    </row>
    <row r="380" ht="15" customHeight="1" s="22">
      <c r="J380" s="38">
        <f>IF(G380="","",IFERROR(INDEX(PackRates!$C:$C,MATCH(1,INDEX((PackRates!$A$1:$A$500=G380)*(PackRates!$B$1:$B$500=H380),0),0)),""))</f>
        <v/>
      </c>
      <c r="K380" s="38">
        <f>IF(OR(I380="",J380=""),"",IFERROR(I380*J380*INDEX(Products!$K:$K,MATCH(G380,Products!$A:$A,0)),""))</f>
        <v/>
      </c>
      <c r="L380" s="38">
        <f>IF(A380="","",IF(A380=A379,M379+1,1))</f>
        <v/>
      </c>
      <c r="M380" s="38">
        <f>IF(OR(L380="",I380=""),"",L380+I380-1)</f>
        <v/>
      </c>
      <c r="N380" s="38">
        <f>IF(A380="","",SUMIF($A$2:$A$500,A380,$I$2:$I$500))</f>
        <v/>
      </c>
    </row>
    <row r="381" ht="15" customHeight="1" s="22">
      <c r="J381" s="38">
        <f>IF(G381="","",IFERROR(INDEX(PackRates!$C:$C,MATCH(1,INDEX((PackRates!$A$1:$A$500=G381)*(PackRates!$B$1:$B$500=H381),0),0)),""))</f>
        <v/>
      </c>
      <c r="K381" s="38">
        <f>IF(OR(I381="",J381=""),"",IFERROR(I381*J381*INDEX(Products!$K:$K,MATCH(G381,Products!$A:$A,0)),""))</f>
        <v/>
      </c>
      <c r="L381" s="38">
        <f>IF(A381="","",IF(A381=A380,M380+1,1))</f>
        <v/>
      </c>
      <c r="M381" s="38">
        <f>IF(OR(L381="",I381=""),"",L381+I381-1)</f>
        <v/>
      </c>
      <c r="N381" s="38">
        <f>IF(A381="","",SUMIF($A$2:$A$500,A381,$I$2:$I$500))</f>
        <v/>
      </c>
    </row>
    <row r="382" ht="15" customHeight="1" s="22">
      <c r="J382" s="38">
        <f>IF(G382="","",IFERROR(INDEX(PackRates!$C:$C,MATCH(1,INDEX((PackRates!$A$1:$A$500=G382)*(PackRates!$B$1:$B$500=H382),0),0)),""))</f>
        <v/>
      </c>
      <c r="K382" s="38">
        <f>IF(OR(I382="",J382=""),"",IFERROR(I382*J382*INDEX(Products!$K:$K,MATCH(G382,Products!$A:$A,0)),""))</f>
        <v/>
      </c>
      <c r="L382" s="38">
        <f>IF(A382="","",IF(A382=A381,M381+1,1))</f>
        <v/>
      </c>
      <c r="M382" s="38">
        <f>IF(OR(L382="",I382=""),"",L382+I382-1)</f>
        <v/>
      </c>
      <c r="N382" s="38">
        <f>IF(A382="","",SUMIF($A$2:$A$500,A382,$I$2:$I$500))</f>
        <v/>
      </c>
    </row>
    <row r="383" ht="15" customHeight="1" s="22">
      <c r="J383" s="38">
        <f>IF(G383="","",IFERROR(INDEX(PackRates!$C:$C,MATCH(1,INDEX((PackRates!$A$1:$A$500=G383)*(PackRates!$B$1:$B$500=H383),0),0)),""))</f>
        <v/>
      </c>
      <c r="K383" s="38">
        <f>IF(OR(I383="",J383=""),"",IFERROR(I383*J383*INDEX(Products!$K:$K,MATCH(G383,Products!$A:$A,0)),""))</f>
        <v/>
      </c>
      <c r="L383" s="38">
        <f>IF(A383="","",IF(A383=A382,M382+1,1))</f>
        <v/>
      </c>
      <c r="M383" s="38">
        <f>IF(OR(L383="",I383=""),"",L383+I383-1)</f>
        <v/>
      </c>
      <c r="N383" s="38">
        <f>IF(A383="","",SUMIF($A$2:$A$500,A383,$I$2:$I$500))</f>
        <v/>
      </c>
    </row>
    <row r="384" ht="15" customHeight="1" s="22">
      <c r="J384" s="38">
        <f>IF(G384="","",IFERROR(INDEX(PackRates!$C:$C,MATCH(1,INDEX((PackRates!$A$1:$A$500=G384)*(PackRates!$B$1:$B$500=H384),0),0)),""))</f>
        <v/>
      </c>
      <c r="K384" s="38">
        <f>IF(OR(I384="",J384=""),"",IFERROR(I384*J384*INDEX(Products!$K:$K,MATCH(G384,Products!$A:$A,0)),""))</f>
        <v/>
      </c>
      <c r="L384" s="38">
        <f>IF(A384="","",IF(A384=A383,M383+1,1))</f>
        <v/>
      </c>
      <c r="M384" s="38">
        <f>IF(OR(L384="",I384=""),"",L384+I384-1)</f>
        <v/>
      </c>
      <c r="N384" s="38">
        <f>IF(A384="","",SUMIF($A$2:$A$500,A384,$I$2:$I$500))</f>
        <v/>
      </c>
    </row>
    <row r="385" ht="15" customHeight="1" s="22">
      <c r="J385" s="38">
        <f>IF(G385="","",IFERROR(INDEX(PackRates!$C:$C,MATCH(1,INDEX((PackRates!$A$1:$A$500=G385)*(PackRates!$B$1:$B$500=H385),0),0)),""))</f>
        <v/>
      </c>
      <c r="K385" s="38">
        <f>IF(OR(I385="",J385=""),"",IFERROR(I385*J385*INDEX(Products!$K:$K,MATCH(G385,Products!$A:$A,0)),""))</f>
        <v/>
      </c>
      <c r="L385" s="38">
        <f>IF(A385="","",IF(A385=A384,M384+1,1))</f>
        <v/>
      </c>
      <c r="M385" s="38">
        <f>IF(OR(L385="",I385=""),"",L385+I385-1)</f>
        <v/>
      </c>
      <c r="N385" s="38">
        <f>IF(A385="","",SUMIF($A$2:$A$500,A385,$I$2:$I$500))</f>
        <v/>
      </c>
    </row>
    <row r="386" ht="15" customHeight="1" s="22">
      <c r="J386" s="38">
        <f>IF(G386="","",IFERROR(INDEX(PackRates!$C:$C,MATCH(1,INDEX((PackRates!$A$1:$A$500=G386)*(PackRates!$B$1:$B$500=H386),0),0)),""))</f>
        <v/>
      </c>
      <c r="K386" s="38">
        <f>IF(OR(I386="",J386=""),"",IFERROR(I386*J386*INDEX(Products!$K:$K,MATCH(G386,Products!$A:$A,0)),""))</f>
        <v/>
      </c>
      <c r="L386" s="38">
        <f>IF(A386="","",IF(A386=A385,M385+1,1))</f>
        <v/>
      </c>
      <c r="M386" s="38">
        <f>IF(OR(L386="",I386=""),"",L386+I386-1)</f>
        <v/>
      </c>
      <c r="N386" s="38">
        <f>IF(A386="","",SUMIF($A$2:$A$500,A386,$I$2:$I$500))</f>
        <v/>
      </c>
    </row>
    <row r="387" ht="15" customHeight="1" s="22">
      <c r="J387" s="38">
        <f>IF(G387="","",IFERROR(INDEX(PackRates!$C:$C,MATCH(1,INDEX((PackRates!$A$1:$A$500=G387)*(PackRates!$B$1:$B$500=H387),0),0)),""))</f>
        <v/>
      </c>
      <c r="K387" s="38">
        <f>IF(OR(I387="",J387=""),"",IFERROR(I387*J387*INDEX(Products!$K:$K,MATCH(G387,Products!$A:$A,0)),""))</f>
        <v/>
      </c>
      <c r="L387" s="38">
        <f>IF(A387="","",IF(A387=A386,M386+1,1))</f>
        <v/>
      </c>
      <c r="M387" s="38">
        <f>IF(OR(L387="",I387=""),"",L387+I387-1)</f>
        <v/>
      </c>
      <c r="N387" s="38">
        <f>IF(A387="","",SUMIF($A$2:$A$500,A387,$I$2:$I$500))</f>
        <v/>
      </c>
    </row>
    <row r="388" ht="15" customHeight="1" s="22">
      <c r="J388" s="38">
        <f>IF(G388="","",IFERROR(INDEX(PackRates!$C:$C,MATCH(1,INDEX((PackRates!$A$1:$A$500=G388)*(PackRates!$B$1:$B$500=H388),0),0)),""))</f>
        <v/>
      </c>
      <c r="K388" s="38">
        <f>IF(OR(I388="",J388=""),"",IFERROR(I388*J388*INDEX(Products!$K:$K,MATCH(G388,Products!$A:$A,0)),""))</f>
        <v/>
      </c>
      <c r="L388" s="38">
        <f>IF(A388="","",IF(A388=A387,M387+1,1))</f>
        <v/>
      </c>
      <c r="M388" s="38">
        <f>IF(OR(L388="",I388=""),"",L388+I388-1)</f>
        <v/>
      </c>
      <c r="N388" s="38">
        <f>IF(A388="","",SUMIF($A$2:$A$500,A388,$I$2:$I$500))</f>
        <v/>
      </c>
    </row>
    <row r="389" ht="15" customHeight="1" s="22">
      <c r="J389" s="38">
        <f>IF(G389="","",IFERROR(INDEX(PackRates!$C:$C,MATCH(1,INDEX((PackRates!$A$1:$A$500=G389)*(PackRates!$B$1:$B$500=H389),0),0)),""))</f>
        <v/>
      </c>
      <c r="K389" s="38">
        <f>IF(OR(I389="",J389=""),"",IFERROR(I389*J389*INDEX(Products!$K:$K,MATCH(G389,Products!$A:$A,0)),""))</f>
        <v/>
      </c>
      <c r="L389" s="38">
        <f>IF(A389="","",IF(A389=A388,M388+1,1))</f>
        <v/>
      </c>
      <c r="M389" s="38">
        <f>IF(OR(L389="",I389=""),"",L389+I389-1)</f>
        <v/>
      </c>
      <c r="N389" s="38">
        <f>IF(A389="","",SUMIF($A$2:$A$500,A389,$I$2:$I$500))</f>
        <v/>
      </c>
    </row>
    <row r="390" ht="15" customHeight="1" s="22">
      <c r="J390" s="38">
        <f>IF(G390="","",IFERROR(INDEX(PackRates!$C:$C,MATCH(1,INDEX((PackRates!$A$1:$A$500=G390)*(PackRates!$B$1:$B$500=H390),0),0)),""))</f>
        <v/>
      </c>
      <c r="K390" s="38">
        <f>IF(OR(I390="",J390=""),"",IFERROR(I390*J390*INDEX(Products!$K:$K,MATCH(G390,Products!$A:$A,0)),""))</f>
        <v/>
      </c>
      <c r="L390" s="38">
        <f>IF(A390="","",IF(A390=A389,M389+1,1))</f>
        <v/>
      </c>
      <c r="M390" s="38">
        <f>IF(OR(L390="",I390=""),"",L390+I390-1)</f>
        <v/>
      </c>
      <c r="N390" s="38">
        <f>IF(A390="","",SUMIF($A$2:$A$500,A390,$I$2:$I$500))</f>
        <v/>
      </c>
    </row>
    <row r="391" ht="15" customHeight="1" s="22">
      <c r="J391" s="38">
        <f>IF(G391="","",IFERROR(INDEX(PackRates!$C:$C,MATCH(1,INDEX((PackRates!$A$1:$A$500=G391)*(PackRates!$B$1:$B$500=H391),0),0)),""))</f>
        <v/>
      </c>
      <c r="K391" s="38">
        <f>IF(OR(I391="",J391=""),"",IFERROR(I391*J391*INDEX(Products!$K:$K,MATCH(G391,Products!$A:$A,0)),""))</f>
        <v/>
      </c>
      <c r="L391" s="38">
        <f>IF(A391="","",IF(A391=A390,M390+1,1))</f>
        <v/>
      </c>
      <c r="M391" s="38">
        <f>IF(OR(L391="",I391=""),"",L391+I391-1)</f>
        <v/>
      </c>
      <c r="N391" s="38">
        <f>IF(A391="","",SUMIF($A$2:$A$500,A391,$I$2:$I$500))</f>
        <v/>
      </c>
    </row>
    <row r="392" ht="15" customHeight="1" s="22">
      <c r="J392" s="38">
        <f>IF(G392="","",IFERROR(INDEX(PackRates!$C:$C,MATCH(1,INDEX((PackRates!$A$1:$A$500=G392)*(PackRates!$B$1:$B$500=H392),0),0)),""))</f>
        <v/>
      </c>
      <c r="K392" s="38">
        <f>IF(OR(I392="",J392=""),"",IFERROR(I392*J392*INDEX(Products!$K:$K,MATCH(G392,Products!$A:$A,0)),""))</f>
        <v/>
      </c>
      <c r="L392" s="38">
        <f>IF(A392="","",IF(A392=A391,M391+1,1))</f>
        <v/>
      </c>
      <c r="M392" s="38">
        <f>IF(OR(L392="",I392=""),"",L392+I392-1)</f>
        <v/>
      </c>
      <c r="N392" s="38">
        <f>IF(A392="","",SUMIF($A$2:$A$500,A392,$I$2:$I$500))</f>
        <v/>
      </c>
    </row>
    <row r="393" ht="15" customHeight="1" s="22">
      <c r="J393" s="38">
        <f>IF(G393="","",IFERROR(INDEX(PackRates!$C:$C,MATCH(1,INDEX((PackRates!$A$1:$A$500=G393)*(PackRates!$B$1:$B$500=H393),0),0)),""))</f>
        <v/>
      </c>
      <c r="K393" s="38">
        <f>IF(OR(I393="",J393=""),"",IFERROR(I393*J393*INDEX(Products!$K:$K,MATCH(G393,Products!$A:$A,0)),""))</f>
        <v/>
      </c>
      <c r="L393" s="38">
        <f>IF(A393="","",IF(A393=A392,M392+1,1))</f>
        <v/>
      </c>
      <c r="M393" s="38">
        <f>IF(OR(L393="",I393=""),"",L393+I393-1)</f>
        <v/>
      </c>
      <c r="N393" s="38">
        <f>IF(A393="","",SUMIF($A$2:$A$500,A393,$I$2:$I$500))</f>
        <v/>
      </c>
    </row>
    <row r="394" ht="15" customHeight="1" s="22">
      <c r="J394" s="38">
        <f>IF(G394="","",IFERROR(INDEX(PackRates!$C:$C,MATCH(1,INDEX((PackRates!$A$1:$A$500=G394)*(PackRates!$B$1:$B$500=H394),0),0)),""))</f>
        <v/>
      </c>
      <c r="K394" s="38">
        <f>IF(OR(I394="",J394=""),"",IFERROR(I394*J394*INDEX(Products!$K:$K,MATCH(G394,Products!$A:$A,0)),""))</f>
        <v/>
      </c>
      <c r="L394" s="38">
        <f>IF(A394="","",IF(A394=A393,M393+1,1))</f>
        <v/>
      </c>
      <c r="M394" s="38">
        <f>IF(OR(L394="",I394=""),"",L394+I394-1)</f>
        <v/>
      </c>
      <c r="N394" s="38">
        <f>IF(A394="","",SUMIF($A$2:$A$500,A394,$I$2:$I$500))</f>
        <v/>
      </c>
    </row>
    <row r="395" ht="15" customHeight="1" s="22">
      <c r="J395" s="38">
        <f>IF(G395="","",IFERROR(INDEX(PackRates!$C:$C,MATCH(1,INDEX((PackRates!$A$1:$A$500=G395)*(PackRates!$B$1:$B$500=H395),0),0)),""))</f>
        <v/>
      </c>
      <c r="K395" s="38">
        <f>IF(OR(I395="",J395=""),"",IFERROR(I395*J395*INDEX(Products!$K:$K,MATCH(G395,Products!$A:$A,0)),""))</f>
        <v/>
      </c>
      <c r="L395" s="38">
        <f>IF(A395="","",IF(A395=A394,M394+1,1))</f>
        <v/>
      </c>
      <c r="M395" s="38">
        <f>IF(OR(L395="",I395=""),"",L395+I395-1)</f>
        <v/>
      </c>
      <c r="N395" s="38">
        <f>IF(A395="","",SUMIF($A$2:$A$500,A395,$I$2:$I$500))</f>
        <v/>
      </c>
    </row>
    <row r="396" ht="15" customHeight="1" s="22">
      <c r="J396" s="38">
        <f>IF(G396="","",IFERROR(INDEX(PackRates!$C:$C,MATCH(1,INDEX((PackRates!$A$1:$A$500=G396)*(PackRates!$B$1:$B$500=H396),0),0)),""))</f>
        <v/>
      </c>
      <c r="K396" s="38">
        <f>IF(OR(I396="",J396=""),"",IFERROR(I396*J396*INDEX(Products!$K:$K,MATCH(G396,Products!$A:$A,0)),""))</f>
        <v/>
      </c>
      <c r="L396" s="38">
        <f>IF(A396="","",IF(A396=A395,M395+1,1))</f>
        <v/>
      </c>
      <c r="M396" s="38">
        <f>IF(OR(L396="",I396=""),"",L396+I396-1)</f>
        <v/>
      </c>
      <c r="N396" s="38">
        <f>IF(A396="","",SUMIF($A$2:$A$500,A396,$I$2:$I$500))</f>
        <v/>
      </c>
    </row>
    <row r="397" ht="15" customHeight="1" s="22">
      <c r="J397" s="38">
        <f>IF(G397="","",IFERROR(INDEX(PackRates!$C:$C,MATCH(1,INDEX((PackRates!$A$1:$A$500=G397)*(PackRates!$B$1:$B$500=H397),0),0)),""))</f>
        <v/>
      </c>
      <c r="K397" s="38">
        <f>IF(OR(I397="",J397=""),"",IFERROR(I397*J397*INDEX(Products!$K:$K,MATCH(G397,Products!$A:$A,0)),""))</f>
        <v/>
      </c>
      <c r="L397" s="38">
        <f>IF(A397="","",IF(A397=A396,M396+1,1))</f>
        <v/>
      </c>
      <c r="M397" s="38">
        <f>IF(OR(L397="",I397=""),"",L397+I397-1)</f>
        <v/>
      </c>
      <c r="N397" s="38">
        <f>IF(A397="","",SUMIF($A$2:$A$500,A397,$I$2:$I$500))</f>
        <v/>
      </c>
    </row>
    <row r="398" ht="15" customHeight="1" s="22">
      <c r="J398" s="38">
        <f>IF(G398="","",IFERROR(INDEX(PackRates!$C:$C,MATCH(1,INDEX((PackRates!$A$1:$A$500=G398)*(PackRates!$B$1:$B$500=H398),0),0)),""))</f>
        <v/>
      </c>
      <c r="K398" s="38">
        <f>IF(OR(I398="",J398=""),"",IFERROR(I398*J398*INDEX(Products!$K:$K,MATCH(G398,Products!$A:$A,0)),""))</f>
        <v/>
      </c>
      <c r="L398" s="38">
        <f>IF(A398="","",IF(A398=A397,M397+1,1))</f>
        <v/>
      </c>
      <c r="M398" s="38">
        <f>IF(OR(L398="",I398=""),"",L398+I398-1)</f>
        <v/>
      </c>
      <c r="N398" s="38">
        <f>IF(A398="","",SUMIF($A$2:$A$500,A398,$I$2:$I$500))</f>
        <v/>
      </c>
    </row>
    <row r="399" ht="15" customHeight="1" s="22">
      <c r="J399" s="38">
        <f>IF(G399="","",IFERROR(INDEX(PackRates!$C:$C,MATCH(1,INDEX((PackRates!$A$1:$A$500=G399)*(PackRates!$B$1:$B$500=H399),0),0)),""))</f>
        <v/>
      </c>
      <c r="K399" s="38">
        <f>IF(OR(I399="",J399=""),"",IFERROR(I399*J399*INDEX(Products!$K:$K,MATCH(G399,Products!$A:$A,0)),""))</f>
        <v/>
      </c>
      <c r="L399" s="38">
        <f>IF(A399="","",IF(A399=A398,M398+1,1))</f>
        <v/>
      </c>
      <c r="M399" s="38">
        <f>IF(OR(L399="",I399=""),"",L399+I399-1)</f>
        <v/>
      </c>
      <c r="N399" s="38">
        <f>IF(A399="","",SUMIF($A$2:$A$500,A399,$I$2:$I$500))</f>
        <v/>
      </c>
    </row>
    <row r="400" ht="15" customHeight="1" s="22">
      <c r="J400" s="38">
        <f>IF(G400="","",IFERROR(INDEX(PackRates!$C:$C,MATCH(1,INDEX((PackRates!$A$1:$A$500=G400)*(PackRates!$B$1:$B$500=H400),0),0)),""))</f>
        <v/>
      </c>
      <c r="K400" s="38">
        <f>IF(OR(I400="",J400=""),"",IFERROR(I400*J400*INDEX(Products!$K:$K,MATCH(G400,Products!$A:$A,0)),""))</f>
        <v/>
      </c>
      <c r="L400" s="38">
        <f>IF(A400="","",IF(A400=A399,M399+1,1))</f>
        <v/>
      </c>
      <c r="M400" s="38">
        <f>IF(OR(L400="",I400=""),"",L400+I400-1)</f>
        <v/>
      </c>
      <c r="N400" s="38">
        <f>IF(A400="","",SUMIF($A$2:$A$500,A400,$I$2:$I$500))</f>
        <v/>
      </c>
    </row>
    <row r="401" ht="15" customHeight="1" s="22">
      <c r="J401" s="38">
        <f>IF(G401="","",IFERROR(INDEX(PackRates!$C:$C,MATCH(1,INDEX((PackRates!$A$1:$A$500=G401)*(PackRates!$B$1:$B$500=H401),0),0)),""))</f>
        <v/>
      </c>
      <c r="K401" s="38">
        <f>IF(OR(I401="",J401=""),"",IFERROR(I401*J401*INDEX(Products!$K:$K,MATCH(G401,Products!$A:$A,0)),""))</f>
        <v/>
      </c>
      <c r="L401" s="38">
        <f>IF(A401="","",IF(A401=A400,M400+1,1))</f>
        <v/>
      </c>
      <c r="M401" s="38">
        <f>IF(OR(L401="",I401=""),"",L401+I401-1)</f>
        <v/>
      </c>
      <c r="N401" s="38">
        <f>IF(A401="","",SUMIF($A$2:$A$500,A401,$I$2:$I$500))</f>
        <v/>
      </c>
    </row>
    <row r="402" ht="15" customHeight="1" s="22">
      <c r="J402" s="38">
        <f>IF(G402="","",IFERROR(INDEX(PackRates!$C:$C,MATCH(1,INDEX((PackRates!$A$1:$A$500=G402)*(PackRates!$B$1:$B$500=H402),0),0)),""))</f>
        <v/>
      </c>
      <c r="K402" s="38">
        <f>IF(OR(I402="",J402=""),"",IFERROR(I402*J402*INDEX(Products!$K:$K,MATCH(G402,Products!$A:$A,0)),""))</f>
        <v/>
      </c>
      <c r="L402" s="38">
        <f>IF(A402="","",IF(A402=A401,M401+1,1))</f>
        <v/>
      </c>
      <c r="M402" s="38">
        <f>IF(OR(L402="",I402=""),"",L402+I402-1)</f>
        <v/>
      </c>
      <c r="N402" s="38">
        <f>IF(A402="","",SUMIF($A$2:$A$500,A402,$I$2:$I$500))</f>
        <v/>
      </c>
    </row>
    <row r="403" ht="15" customHeight="1" s="22">
      <c r="J403" s="38">
        <f>IF(G403="","",IFERROR(INDEX(PackRates!$C:$C,MATCH(1,INDEX((PackRates!$A$1:$A$500=G403)*(PackRates!$B$1:$B$500=H403),0),0)),""))</f>
        <v/>
      </c>
      <c r="K403" s="38">
        <f>IF(OR(I403="",J403=""),"",IFERROR(I403*J403*INDEX(Products!$K:$K,MATCH(G403,Products!$A:$A,0)),""))</f>
        <v/>
      </c>
      <c r="L403" s="38">
        <f>IF(A403="","",IF(A403=A402,M402+1,1))</f>
        <v/>
      </c>
      <c r="M403" s="38">
        <f>IF(OR(L403="",I403=""),"",L403+I403-1)</f>
        <v/>
      </c>
      <c r="N403" s="38">
        <f>IF(A403="","",SUMIF($A$2:$A$500,A403,$I$2:$I$500))</f>
        <v/>
      </c>
    </row>
    <row r="404" ht="15" customHeight="1" s="22">
      <c r="J404" s="38">
        <f>IF(G404="","",IFERROR(INDEX(PackRates!$C:$C,MATCH(1,INDEX((PackRates!$A$1:$A$500=G404)*(PackRates!$B$1:$B$500=H404),0),0)),""))</f>
        <v/>
      </c>
      <c r="K404" s="38">
        <f>IF(OR(I404="",J404=""),"",IFERROR(I404*J404*INDEX(Products!$K:$K,MATCH(G404,Products!$A:$A,0)),""))</f>
        <v/>
      </c>
      <c r="L404" s="38">
        <f>IF(A404="","",IF(A404=A403,M403+1,1))</f>
        <v/>
      </c>
      <c r="M404" s="38">
        <f>IF(OR(L404="",I404=""),"",L404+I404-1)</f>
        <v/>
      </c>
      <c r="N404" s="38">
        <f>IF(A404="","",SUMIF($A$2:$A$500,A404,$I$2:$I$500))</f>
        <v/>
      </c>
    </row>
    <row r="405" ht="15" customHeight="1" s="22">
      <c r="J405" s="38">
        <f>IF(G405="","",IFERROR(INDEX(PackRates!$C:$C,MATCH(1,INDEX((PackRates!$A$1:$A$500=G405)*(PackRates!$B$1:$B$500=H405),0),0)),""))</f>
        <v/>
      </c>
      <c r="K405" s="38">
        <f>IF(OR(I405="",J405=""),"",IFERROR(I405*J405*INDEX(Products!$K:$K,MATCH(G405,Products!$A:$A,0)),""))</f>
        <v/>
      </c>
      <c r="L405" s="38">
        <f>IF(A405="","",IF(A405=A404,M404+1,1))</f>
        <v/>
      </c>
      <c r="M405" s="38">
        <f>IF(OR(L405="",I405=""),"",L405+I405-1)</f>
        <v/>
      </c>
      <c r="N405" s="38">
        <f>IF(A405="","",SUMIF($A$2:$A$500,A405,$I$2:$I$500))</f>
        <v/>
      </c>
    </row>
    <row r="406" ht="15" customHeight="1" s="22">
      <c r="J406" s="38">
        <f>IF(G406="","",IFERROR(INDEX(PackRates!$C:$C,MATCH(1,INDEX((PackRates!$A$1:$A$500=G406)*(PackRates!$B$1:$B$500=H406),0),0)),""))</f>
        <v/>
      </c>
      <c r="K406" s="38">
        <f>IF(OR(I406="",J406=""),"",IFERROR(I406*J406*INDEX(Products!$K:$K,MATCH(G406,Products!$A:$A,0)),""))</f>
        <v/>
      </c>
      <c r="L406" s="38">
        <f>IF(A406="","",IF(A406=A405,M405+1,1))</f>
        <v/>
      </c>
      <c r="M406" s="38">
        <f>IF(OR(L406="",I406=""),"",L406+I406-1)</f>
        <v/>
      </c>
      <c r="N406" s="38">
        <f>IF(A406="","",SUMIF($A$2:$A$500,A406,$I$2:$I$500))</f>
        <v/>
      </c>
    </row>
    <row r="407" ht="15" customHeight="1" s="22">
      <c r="J407" s="38">
        <f>IF(G407="","",IFERROR(INDEX(PackRates!$C:$C,MATCH(1,INDEX((PackRates!$A$1:$A$500=G407)*(PackRates!$B$1:$B$500=H407),0),0)),""))</f>
        <v/>
      </c>
      <c r="K407" s="38">
        <f>IF(OR(I407="",J407=""),"",IFERROR(I407*J407*INDEX(Products!$K:$K,MATCH(G407,Products!$A:$A,0)),""))</f>
        <v/>
      </c>
      <c r="L407" s="38">
        <f>IF(A407="","",IF(A407=A406,M406+1,1))</f>
        <v/>
      </c>
      <c r="M407" s="38">
        <f>IF(OR(L407="",I407=""),"",L407+I407-1)</f>
        <v/>
      </c>
      <c r="N407" s="38">
        <f>IF(A407="","",SUMIF($A$2:$A$500,A407,$I$2:$I$500))</f>
        <v/>
      </c>
    </row>
    <row r="408" ht="15" customHeight="1" s="22">
      <c r="J408" s="38">
        <f>IF(G408="","",IFERROR(INDEX(PackRates!$C:$C,MATCH(1,INDEX((PackRates!$A$1:$A$500=G408)*(PackRates!$B$1:$B$500=H408),0),0)),""))</f>
        <v/>
      </c>
      <c r="K408" s="38">
        <f>IF(OR(I408="",J408=""),"",IFERROR(I408*J408*INDEX(Products!$K:$K,MATCH(G408,Products!$A:$A,0)),""))</f>
        <v/>
      </c>
      <c r="L408" s="38">
        <f>IF(A408="","",IF(A408=A407,M407+1,1))</f>
        <v/>
      </c>
      <c r="M408" s="38">
        <f>IF(OR(L408="",I408=""),"",L408+I408-1)</f>
        <v/>
      </c>
      <c r="N408" s="38">
        <f>IF(A408="","",SUMIF($A$2:$A$500,A408,$I$2:$I$500))</f>
        <v/>
      </c>
    </row>
    <row r="409" ht="15" customHeight="1" s="22">
      <c r="J409" s="38">
        <f>IF(G409="","",IFERROR(INDEX(PackRates!$C:$C,MATCH(1,INDEX((PackRates!$A$1:$A$500=G409)*(PackRates!$B$1:$B$500=H409),0),0)),""))</f>
        <v/>
      </c>
      <c r="K409" s="38">
        <f>IF(OR(I409="",J409=""),"",IFERROR(I409*J409*INDEX(Products!$K:$K,MATCH(G409,Products!$A:$A,0)),""))</f>
        <v/>
      </c>
      <c r="L409" s="38">
        <f>IF(A409="","",IF(A409=A408,M408+1,1))</f>
        <v/>
      </c>
      <c r="M409" s="38">
        <f>IF(OR(L409="",I409=""),"",L409+I409-1)</f>
        <v/>
      </c>
      <c r="N409" s="38">
        <f>IF(A409="","",SUMIF($A$2:$A$500,A409,$I$2:$I$500))</f>
        <v/>
      </c>
    </row>
    <row r="410" ht="15" customHeight="1" s="22">
      <c r="J410" s="38">
        <f>IF(G410="","",IFERROR(INDEX(PackRates!$C:$C,MATCH(1,INDEX((PackRates!$A$1:$A$500=G410)*(PackRates!$B$1:$B$500=H410),0),0)),""))</f>
        <v/>
      </c>
      <c r="K410" s="38">
        <f>IF(OR(I410="",J410=""),"",IFERROR(I410*J410*INDEX(Products!$K:$K,MATCH(G410,Products!$A:$A,0)),""))</f>
        <v/>
      </c>
      <c r="L410" s="38">
        <f>IF(A410="","",IF(A410=A409,M409+1,1))</f>
        <v/>
      </c>
      <c r="M410" s="38">
        <f>IF(OR(L410="",I410=""),"",L410+I410-1)</f>
        <v/>
      </c>
      <c r="N410" s="38">
        <f>IF(A410="","",SUMIF($A$2:$A$500,A410,$I$2:$I$500))</f>
        <v/>
      </c>
    </row>
    <row r="411" ht="15" customHeight="1" s="22">
      <c r="J411" s="38">
        <f>IF(G411="","",IFERROR(INDEX(PackRates!$C:$C,MATCH(1,INDEX((PackRates!$A$1:$A$500=G411)*(PackRates!$B$1:$B$500=H411),0),0)),""))</f>
        <v/>
      </c>
      <c r="K411" s="38">
        <f>IF(OR(I411="",J411=""),"",IFERROR(I411*J411*INDEX(Products!$K:$K,MATCH(G411,Products!$A:$A,0)),""))</f>
        <v/>
      </c>
      <c r="L411" s="38">
        <f>IF(A411="","",IF(A411=A410,M410+1,1))</f>
        <v/>
      </c>
      <c r="M411" s="38">
        <f>IF(OR(L411="",I411=""),"",L411+I411-1)</f>
        <v/>
      </c>
      <c r="N411" s="38">
        <f>IF(A411="","",SUMIF($A$2:$A$500,A411,$I$2:$I$500))</f>
        <v/>
      </c>
    </row>
    <row r="412" ht="15" customHeight="1" s="22">
      <c r="J412" s="38">
        <f>IF(G412="","",IFERROR(INDEX(PackRates!$C:$C,MATCH(1,INDEX((PackRates!$A$1:$A$500=G412)*(PackRates!$B$1:$B$500=H412),0),0)),""))</f>
        <v/>
      </c>
      <c r="K412" s="38">
        <f>IF(OR(I412="",J412=""),"",IFERROR(I412*J412*INDEX(Products!$K:$K,MATCH(G412,Products!$A:$A,0)),""))</f>
        <v/>
      </c>
      <c r="L412" s="38">
        <f>IF(A412="","",IF(A412=A411,M411+1,1))</f>
        <v/>
      </c>
      <c r="M412" s="38">
        <f>IF(OR(L412="",I412=""),"",L412+I412-1)</f>
        <v/>
      </c>
      <c r="N412" s="38">
        <f>IF(A412="","",SUMIF($A$2:$A$500,A412,$I$2:$I$500))</f>
        <v/>
      </c>
    </row>
    <row r="413" ht="15" customHeight="1" s="22">
      <c r="J413" s="38">
        <f>IF(G413="","",IFERROR(INDEX(PackRates!$C:$C,MATCH(1,INDEX((PackRates!$A$1:$A$500=G413)*(PackRates!$B$1:$B$500=H413),0),0)),""))</f>
        <v/>
      </c>
      <c r="K413" s="38">
        <f>IF(OR(I413="",J413=""),"",IFERROR(I413*J413*INDEX(Products!$K:$K,MATCH(G413,Products!$A:$A,0)),""))</f>
        <v/>
      </c>
      <c r="L413" s="38">
        <f>IF(A413="","",IF(A413=A412,M412+1,1))</f>
        <v/>
      </c>
      <c r="M413" s="38">
        <f>IF(OR(L413="",I413=""),"",L413+I413-1)</f>
        <v/>
      </c>
      <c r="N413" s="38">
        <f>IF(A413="","",SUMIF($A$2:$A$500,A413,$I$2:$I$500))</f>
        <v/>
      </c>
    </row>
    <row r="414" ht="15" customHeight="1" s="22">
      <c r="J414" s="38">
        <f>IF(G414="","",IFERROR(INDEX(PackRates!$C:$C,MATCH(1,INDEX((PackRates!$A$1:$A$500=G414)*(PackRates!$B$1:$B$500=H414),0),0)),""))</f>
        <v/>
      </c>
      <c r="K414" s="38">
        <f>IF(OR(I414="",J414=""),"",IFERROR(I414*J414*INDEX(Products!$K:$K,MATCH(G414,Products!$A:$A,0)),""))</f>
        <v/>
      </c>
      <c r="L414" s="38">
        <f>IF(A414="","",IF(A414=A413,M413+1,1))</f>
        <v/>
      </c>
      <c r="M414" s="38">
        <f>IF(OR(L414="",I414=""),"",L414+I414-1)</f>
        <v/>
      </c>
      <c r="N414" s="38">
        <f>IF(A414="","",SUMIF($A$2:$A$500,A414,$I$2:$I$500))</f>
        <v/>
      </c>
    </row>
    <row r="415" ht="15" customHeight="1" s="22">
      <c r="J415" s="38">
        <f>IF(G415="","",IFERROR(INDEX(PackRates!$C:$C,MATCH(1,INDEX((PackRates!$A$1:$A$500=G415)*(PackRates!$B$1:$B$500=H415),0),0)),""))</f>
        <v/>
      </c>
      <c r="K415" s="38">
        <f>IF(OR(I415="",J415=""),"",IFERROR(I415*J415*INDEX(Products!$K:$K,MATCH(G415,Products!$A:$A,0)),""))</f>
        <v/>
      </c>
      <c r="L415" s="38">
        <f>IF(A415="","",IF(A415=A414,M414+1,1))</f>
        <v/>
      </c>
      <c r="M415" s="38">
        <f>IF(OR(L415="",I415=""),"",L415+I415-1)</f>
        <v/>
      </c>
      <c r="N415" s="38">
        <f>IF(A415="","",SUMIF($A$2:$A$500,A415,$I$2:$I$500))</f>
        <v/>
      </c>
    </row>
    <row r="416" ht="15" customHeight="1" s="22">
      <c r="J416" s="38">
        <f>IF(G416="","",IFERROR(INDEX(PackRates!$C:$C,MATCH(1,INDEX((PackRates!$A$1:$A$500=G416)*(PackRates!$B$1:$B$500=H416),0),0)),""))</f>
        <v/>
      </c>
      <c r="K416" s="38">
        <f>IF(OR(I416="",J416=""),"",IFERROR(I416*J416*INDEX(Products!$K:$K,MATCH(G416,Products!$A:$A,0)),""))</f>
        <v/>
      </c>
      <c r="L416" s="38">
        <f>IF(A416="","",IF(A416=A415,M415+1,1))</f>
        <v/>
      </c>
      <c r="M416" s="38">
        <f>IF(OR(L416="",I416=""),"",L416+I416-1)</f>
        <v/>
      </c>
      <c r="N416" s="38">
        <f>IF(A416="","",SUMIF($A$2:$A$500,A416,$I$2:$I$500))</f>
        <v/>
      </c>
    </row>
    <row r="417" ht="15" customHeight="1" s="22">
      <c r="J417" s="38">
        <f>IF(G417="","",IFERROR(INDEX(PackRates!$C:$C,MATCH(1,INDEX((PackRates!$A$1:$A$500=G417)*(PackRates!$B$1:$B$500=H417),0),0)),""))</f>
        <v/>
      </c>
      <c r="K417" s="38">
        <f>IF(OR(I417="",J417=""),"",IFERROR(I417*J417*INDEX(Products!$K:$K,MATCH(G417,Products!$A:$A,0)),""))</f>
        <v/>
      </c>
      <c r="L417" s="38">
        <f>IF(A417="","",IF(A417=A416,M416+1,1))</f>
        <v/>
      </c>
      <c r="M417" s="38">
        <f>IF(OR(L417="",I417=""),"",L417+I417-1)</f>
        <v/>
      </c>
      <c r="N417" s="38">
        <f>IF(A417="","",SUMIF($A$2:$A$500,A417,$I$2:$I$500))</f>
        <v/>
      </c>
    </row>
    <row r="418" ht="15" customHeight="1" s="22">
      <c r="J418" s="38">
        <f>IF(G418="","",IFERROR(INDEX(PackRates!$C:$C,MATCH(1,INDEX((PackRates!$A$1:$A$500=G418)*(PackRates!$B$1:$B$500=H418),0),0)),""))</f>
        <v/>
      </c>
      <c r="K418" s="38">
        <f>IF(OR(I418="",J418=""),"",IFERROR(I418*J418*INDEX(Products!$K:$K,MATCH(G418,Products!$A:$A,0)),""))</f>
        <v/>
      </c>
      <c r="L418" s="38">
        <f>IF(A418="","",IF(A418=A417,M417+1,1))</f>
        <v/>
      </c>
      <c r="M418" s="38">
        <f>IF(OR(L418="",I418=""),"",L418+I418-1)</f>
        <v/>
      </c>
      <c r="N418" s="38">
        <f>IF(A418="","",SUMIF($A$2:$A$500,A418,$I$2:$I$500))</f>
        <v/>
      </c>
    </row>
    <row r="419" ht="15" customHeight="1" s="22">
      <c r="J419" s="38">
        <f>IF(G419="","",IFERROR(INDEX(PackRates!$C:$C,MATCH(1,INDEX((PackRates!$A$1:$A$500=G419)*(PackRates!$B$1:$B$500=H419),0),0)),""))</f>
        <v/>
      </c>
      <c r="K419" s="38">
        <f>IF(OR(I419="",J419=""),"",IFERROR(I419*J419*INDEX(Products!$K:$K,MATCH(G419,Products!$A:$A,0)),""))</f>
        <v/>
      </c>
      <c r="L419" s="38">
        <f>IF(A419="","",IF(A419=A418,M418+1,1))</f>
        <v/>
      </c>
      <c r="M419" s="38">
        <f>IF(OR(L419="",I419=""),"",L419+I419-1)</f>
        <v/>
      </c>
      <c r="N419" s="38">
        <f>IF(A419="","",SUMIF($A$2:$A$500,A419,$I$2:$I$500))</f>
        <v/>
      </c>
    </row>
    <row r="420" ht="15" customHeight="1" s="22">
      <c r="J420" s="38">
        <f>IF(G420="","",IFERROR(INDEX(PackRates!$C:$C,MATCH(1,INDEX((PackRates!$A$1:$A$500=G420)*(PackRates!$B$1:$B$500=H420),0),0)),""))</f>
        <v/>
      </c>
      <c r="K420" s="38">
        <f>IF(OR(I420="",J420=""),"",IFERROR(I420*J420*INDEX(Products!$K:$K,MATCH(G420,Products!$A:$A,0)),""))</f>
        <v/>
      </c>
      <c r="L420" s="38">
        <f>IF(A420="","",IF(A420=A419,M419+1,1))</f>
        <v/>
      </c>
      <c r="M420" s="38">
        <f>IF(OR(L420="",I420=""),"",L420+I420-1)</f>
        <v/>
      </c>
      <c r="N420" s="38">
        <f>IF(A420="","",SUMIF($A$2:$A$500,A420,$I$2:$I$500))</f>
        <v/>
      </c>
    </row>
    <row r="421" ht="15" customHeight="1" s="22">
      <c r="J421" s="38">
        <f>IF(G421="","",IFERROR(INDEX(PackRates!$C:$C,MATCH(1,INDEX((PackRates!$A$1:$A$500=G421)*(PackRates!$B$1:$B$500=H421),0),0)),""))</f>
        <v/>
      </c>
      <c r="K421" s="38">
        <f>IF(OR(I421="",J421=""),"",IFERROR(I421*J421*INDEX(Products!$K:$K,MATCH(G421,Products!$A:$A,0)),""))</f>
        <v/>
      </c>
      <c r="L421" s="38">
        <f>IF(A421="","",IF(A421=A420,M420+1,1))</f>
        <v/>
      </c>
      <c r="M421" s="38">
        <f>IF(OR(L421="",I421=""),"",L421+I421-1)</f>
        <v/>
      </c>
      <c r="N421" s="38">
        <f>IF(A421="","",SUMIF($A$2:$A$500,A421,$I$2:$I$500))</f>
        <v/>
      </c>
    </row>
    <row r="422" ht="15" customHeight="1" s="22">
      <c r="J422" s="38">
        <f>IF(G422="","",IFERROR(INDEX(PackRates!$C:$C,MATCH(1,INDEX((PackRates!$A$1:$A$500=G422)*(PackRates!$B$1:$B$500=H422),0),0)),""))</f>
        <v/>
      </c>
      <c r="K422" s="38">
        <f>IF(OR(I422="",J422=""),"",IFERROR(I422*J422*INDEX(Products!$K:$K,MATCH(G422,Products!$A:$A,0)),""))</f>
        <v/>
      </c>
      <c r="L422" s="38">
        <f>IF(A422="","",IF(A422=A421,M421+1,1))</f>
        <v/>
      </c>
      <c r="M422" s="38">
        <f>IF(OR(L422="",I422=""),"",L422+I422-1)</f>
        <v/>
      </c>
      <c r="N422" s="38">
        <f>IF(A422="","",SUMIF($A$2:$A$500,A422,$I$2:$I$500))</f>
        <v/>
      </c>
    </row>
    <row r="423" ht="15" customHeight="1" s="22">
      <c r="J423" s="38">
        <f>IF(G423="","",IFERROR(INDEX(PackRates!$C:$C,MATCH(1,INDEX((PackRates!$A$1:$A$500=G423)*(PackRates!$B$1:$B$500=H423),0),0)),""))</f>
        <v/>
      </c>
      <c r="K423" s="38">
        <f>IF(OR(I423="",J423=""),"",IFERROR(I423*J423*INDEX(Products!$K:$K,MATCH(G423,Products!$A:$A,0)),""))</f>
        <v/>
      </c>
      <c r="L423" s="38">
        <f>IF(A423="","",IF(A423=A422,M422+1,1))</f>
        <v/>
      </c>
      <c r="M423" s="38">
        <f>IF(OR(L423="",I423=""),"",L423+I423-1)</f>
        <v/>
      </c>
      <c r="N423" s="38">
        <f>IF(A423="","",SUMIF($A$2:$A$500,A423,$I$2:$I$500))</f>
        <v/>
      </c>
    </row>
    <row r="424" ht="15" customHeight="1" s="22">
      <c r="J424" s="38">
        <f>IF(G424="","",IFERROR(INDEX(PackRates!$C:$C,MATCH(1,INDEX((PackRates!$A$1:$A$500=G424)*(PackRates!$B$1:$B$500=H424),0),0)),""))</f>
        <v/>
      </c>
      <c r="K424" s="38">
        <f>IF(OR(I424="",J424=""),"",IFERROR(I424*J424*INDEX(Products!$K:$K,MATCH(G424,Products!$A:$A,0)),""))</f>
        <v/>
      </c>
      <c r="L424" s="38">
        <f>IF(A424="","",IF(A424=A423,M423+1,1))</f>
        <v/>
      </c>
      <c r="M424" s="38">
        <f>IF(OR(L424="",I424=""),"",L424+I424-1)</f>
        <v/>
      </c>
      <c r="N424" s="38">
        <f>IF(A424="","",SUMIF($A$2:$A$500,A424,$I$2:$I$500))</f>
        <v/>
      </c>
    </row>
    <row r="425" ht="15" customHeight="1" s="22">
      <c r="J425" s="38">
        <f>IF(G425="","",IFERROR(INDEX(PackRates!$C:$C,MATCH(1,INDEX((PackRates!$A$1:$A$500=G425)*(PackRates!$B$1:$B$500=H425),0),0)),""))</f>
        <v/>
      </c>
      <c r="K425" s="38">
        <f>IF(OR(I425="",J425=""),"",IFERROR(I425*J425*INDEX(Products!$K:$K,MATCH(G425,Products!$A:$A,0)),""))</f>
        <v/>
      </c>
      <c r="L425" s="38">
        <f>IF(A425="","",IF(A425=A424,M424+1,1))</f>
        <v/>
      </c>
      <c r="M425" s="38">
        <f>IF(OR(L425="",I425=""),"",L425+I425-1)</f>
        <v/>
      </c>
      <c r="N425" s="38">
        <f>IF(A425="","",SUMIF($A$2:$A$500,A425,$I$2:$I$500))</f>
        <v/>
      </c>
    </row>
    <row r="426" ht="15" customHeight="1" s="22">
      <c r="J426" s="38">
        <f>IF(G426="","",IFERROR(INDEX(PackRates!$C:$C,MATCH(1,INDEX((PackRates!$A$1:$A$500=G426)*(PackRates!$B$1:$B$500=H426),0),0)),""))</f>
        <v/>
      </c>
      <c r="K426" s="38">
        <f>IF(OR(I426="",J426=""),"",IFERROR(I426*J426*INDEX(Products!$K:$K,MATCH(G426,Products!$A:$A,0)),""))</f>
        <v/>
      </c>
      <c r="L426" s="38">
        <f>IF(A426="","",IF(A426=A425,M425+1,1))</f>
        <v/>
      </c>
      <c r="M426" s="38">
        <f>IF(OR(L426="",I426=""),"",L426+I426-1)</f>
        <v/>
      </c>
      <c r="N426" s="38">
        <f>IF(A426="","",SUMIF($A$2:$A$500,A426,$I$2:$I$500))</f>
        <v/>
      </c>
    </row>
    <row r="427" ht="15" customHeight="1" s="22">
      <c r="J427" s="38">
        <f>IF(G427="","",IFERROR(INDEX(PackRates!$C:$C,MATCH(1,INDEX((PackRates!$A$1:$A$500=G427)*(PackRates!$B$1:$B$500=H427),0),0)),""))</f>
        <v/>
      </c>
      <c r="K427" s="38">
        <f>IF(OR(I427="",J427=""),"",IFERROR(I427*J427*INDEX(Products!$K:$K,MATCH(G427,Products!$A:$A,0)),""))</f>
        <v/>
      </c>
      <c r="L427" s="38">
        <f>IF(A427="","",IF(A427=A426,M426+1,1))</f>
        <v/>
      </c>
      <c r="M427" s="38">
        <f>IF(OR(L427="",I427=""),"",L427+I427-1)</f>
        <v/>
      </c>
      <c r="N427" s="38">
        <f>IF(A427="","",SUMIF($A$2:$A$500,A427,$I$2:$I$500))</f>
        <v/>
      </c>
    </row>
    <row r="428" ht="15" customHeight="1" s="22">
      <c r="J428" s="38">
        <f>IF(G428="","",IFERROR(INDEX(PackRates!$C:$C,MATCH(1,INDEX((PackRates!$A$1:$A$500=G428)*(PackRates!$B$1:$B$500=H428),0),0)),""))</f>
        <v/>
      </c>
      <c r="K428" s="38">
        <f>IF(OR(I428="",J428=""),"",IFERROR(I428*J428*INDEX(Products!$K:$K,MATCH(G428,Products!$A:$A,0)),""))</f>
        <v/>
      </c>
      <c r="L428" s="38">
        <f>IF(A428="","",IF(A428=A427,M427+1,1))</f>
        <v/>
      </c>
      <c r="M428" s="38">
        <f>IF(OR(L428="",I428=""),"",L428+I428-1)</f>
        <v/>
      </c>
      <c r="N428" s="38">
        <f>IF(A428="","",SUMIF($A$2:$A$500,A428,$I$2:$I$500))</f>
        <v/>
      </c>
    </row>
    <row r="429" ht="15" customHeight="1" s="22">
      <c r="J429" s="38">
        <f>IF(G429="","",IFERROR(INDEX(PackRates!$C:$C,MATCH(1,INDEX((PackRates!$A$1:$A$500=G429)*(PackRates!$B$1:$B$500=H429),0),0)),""))</f>
        <v/>
      </c>
      <c r="K429" s="38">
        <f>IF(OR(I429="",J429=""),"",IFERROR(I429*J429*INDEX(Products!$K:$K,MATCH(G429,Products!$A:$A,0)),""))</f>
        <v/>
      </c>
      <c r="L429" s="38">
        <f>IF(A429="","",IF(A429=A428,M428+1,1))</f>
        <v/>
      </c>
      <c r="M429" s="38">
        <f>IF(OR(L429="",I429=""),"",L429+I429-1)</f>
        <v/>
      </c>
      <c r="N429" s="38">
        <f>IF(A429="","",SUMIF($A$2:$A$500,A429,$I$2:$I$500))</f>
        <v/>
      </c>
    </row>
    <row r="430" ht="15" customHeight="1" s="22">
      <c r="J430" s="38">
        <f>IF(G430="","",IFERROR(INDEX(PackRates!$C:$C,MATCH(1,INDEX((PackRates!$A$1:$A$500=G430)*(PackRates!$B$1:$B$500=H430),0),0)),""))</f>
        <v/>
      </c>
      <c r="K430" s="38">
        <f>IF(OR(I430="",J430=""),"",IFERROR(I430*J430*INDEX(Products!$K:$K,MATCH(G430,Products!$A:$A,0)),""))</f>
        <v/>
      </c>
      <c r="L430" s="38">
        <f>IF(A430="","",IF(A430=A429,M429+1,1))</f>
        <v/>
      </c>
      <c r="M430" s="38">
        <f>IF(OR(L430="",I430=""),"",L430+I430-1)</f>
        <v/>
      </c>
      <c r="N430" s="38">
        <f>IF(A430="","",SUMIF($A$2:$A$500,A430,$I$2:$I$500))</f>
        <v/>
      </c>
    </row>
    <row r="431" ht="15" customHeight="1" s="22">
      <c r="J431" s="38">
        <f>IF(G431="","",IFERROR(INDEX(PackRates!$C:$C,MATCH(1,INDEX((PackRates!$A$1:$A$500=G431)*(PackRates!$B$1:$B$500=H431),0),0)),""))</f>
        <v/>
      </c>
      <c r="K431" s="38">
        <f>IF(OR(I431="",J431=""),"",IFERROR(I431*J431*INDEX(Products!$K:$K,MATCH(G431,Products!$A:$A,0)),""))</f>
        <v/>
      </c>
      <c r="L431" s="38">
        <f>IF(A431="","",IF(A431=A430,M430+1,1))</f>
        <v/>
      </c>
      <c r="M431" s="38">
        <f>IF(OR(L431="",I431=""),"",L431+I431-1)</f>
        <v/>
      </c>
      <c r="N431" s="38">
        <f>IF(A431="","",SUMIF($A$2:$A$500,A431,$I$2:$I$500))</f>
        <v/>
      </c>
    </row>
    <row r="432" ht="15" customHeight="1" s="22">
      <c r="J432" s="38">
        <f>IF(G432="","",IFERROR(INDEX(PackRates!$C:$C,MATCH(1,INDEX((PackRates!$A$1:$A$500=G432)*(PackRates!$B$1:$B$500=H432),0),0)),""))</f>
        <v/>
      </c>
      <c r="K432" s="38">
        <f>IF(OR(I432="",J432=""),"",IFERROR(I432*J432*INDEX(Products!$K:$K,MATCH(G432,Products!$A:$A,0)),""))</f>
        <v/>
      </c>
      <c r="L432" s="38">
        <f>IF(A432="","",IF(A432=A431,M431+1,1))</f>
        <v/>
      </c>
      <c r="M432" s="38">
        <f>IF(OR(L432="",I432=""),"",L432+I432-1)</f>
        <v/>
      </c>
      <c r="N432" s="38">
        <f>IF(A432="","",SUMIF($A$2:$A$500,A432,$I$2:$I$500))</f>
        <v/>
      </c>
    </row>
    <row r="433" ht="15" customHeight="1" s="22">
      <c r="J433" s="38">
        <f>IF(G433="","",IFERROR(INDEX(PackRates!$C:$C,MATCH(1,INDEX((PackRates!$A$1:$A$500=G433)*(PackRates!$B$1:$B$500=H433),0),0)),""))</f>
        <v/>
      </c>
      <c r="K433" s="38">
        <f>IF(OR(I433="",J433=""),"",IFERROR(I433*J433*INDEX(Products!$K:$K,MATCH(G433,Products!$A:$A,0)),""))</f>
        <v/>
      </c>
      <c r="L433" s="38">
        <f>IF(A433="","",IF(A433=A432,M432+1,1))</f>
        <v/>
      </c>
      <c r="M433" s="38">
        <f>IF(OR(L433="",I433=""),"",L433+I433-1)</f>
        <v/>
      </c>
      <c r="N433" s="38">
        <f>IF(A433="","",SUMIF($A$2:$A$500,A433,$I$2:$I$500))</f>
        <v/>
      </c>
    </row>
    <row r="434" ht="15" customHeight="1" s="22">
      <c r="J434" s="38">
        <f>IF(G434="","",IFERROR(INDEX(PackRates!$C:$C,MATCH(1,INDEX((PackRates!$A$1:$A$500=G434)*(PackRates!$B$1:$B$500=H434),0),0)),""))</f>
        <v/>
      </c>
      <c r="K434" s="38">
        <f>IF(OR(I434="",J434=""),"",IFERROR(I434*J434*INDEX(Products!$K:$K,MATCH(G434,Products!$A:$A,0)),""))</f>
        <v/>
      </c>
      <c r="L434" s="38">
        <f>IF(A434="","",IF(A434=A433,M433+1,1))</f>
        <v/>
      </c>
      <c r="M434" s="38">
        <f>IF(OR(L434="",I434=""),"",L434+I434-1)</f>
        <v/>
      </c>
      <c r="N434" s="38">
        <f>IF(A434="","",SUMIF($A$2:$A$500,A434,$I$2:$I$500))</f>
        <v/>
      </c>
    </row>
    <row r="435" ht="15" customHeight="1" s="22">
      <c r="J435" s="38">
        <f>IF(G435="","",IFERROR(INDEX(PackRates!$C:$C,MATCH(1,INDEX((PackRates!$A$1:$A$500=G435)*(PackRates!$B$1:$B$500=H435),0),0)),""))</f>
        <v/>
      </c>
      <c r="K435" s="38">
        <f>IF(OR(I435="",J435=""),"",IFERROR(I435*J435*INDEX(Products!$K:$K,MATCH(G435,Products!$A:$A,0)),""))</f>
        <v/>
      </c>
      <c r="L435" s="38">
        <f>IF(A435="","",IF(A435=A434,M434+1,1))</f>
        <v/>
      </c>
      <c r="M435" s="38">
        <f>IF(OR(L435="",I435=""),"",L435+I435-1)</f>
        <v/>
      </c>
      <c r="N435" s="38">
        <f>IF(A435="","",SUMIF($A$2:$A$500,A435,$I$2:$I$500))</f>
        <v/>
      </c>
    </row>
    <row r="436" ht="15" customHeight="1" s="22">
      <c r="J436" s="38">
        <f>IF(G436="","",IFERROR(INDEX(PackRates!$C:$C,MATCH(1,INDEX((PackRates!$A$1:$A$500=G436)*(PackRates!$B$1:$B$500=H436),0),0)),""))</f>
        <v/>
      </c>
      <c r="K436" s="38">
        <f>IF(OR(I436="",J436=""),"",IFERROR(I436*J436*INDEX(Products!$K:$K,MATCH(G436,Products!$A:$A,0)),""))</f>
        <v/>
      </c>
      <c r="L436" s="38">
        <f>IF(A436="","",IF(A436=A435,M435+1,1))</f>
        <v/>
      </c>
      <c r="M436" s="38">
        <f>IF(OR(L436="",I436=""),"",L436+I436-1)</f>
        <v/>
      </c>
      <c r="N436" s="38">
        <f>IF(A436="","",SUMIF($A$2:$A$500,A436,$I$2:$I$500))</f>
        <v/>
      </c>
    </row>
    <row r="437" ht="15" customHeight="1" s="22">
      <c r="J437" s="38">
        <f>IF(G437="","",IFERROR(INDEX(PackRates!$C:$C,MATCH(1,INDEX((PackRates!$A$1:$A$500=G437)*(PackRates!$B$1:$B$500=H437),0),0)),""))</f>
        <v/>
      </c>
      <c r="K437" s="38">
        <f>IF(OR(I437="",J437=""),"",IFERROR(I437*J437*INDEX(Products!$K:$K,MATCH(G437,Products!$A:$A,0)),""))</f>
        <v/>
      </c>
      <c r="L437" s="38">
        <f>IF(A437="","",IF(A437=A436,M436+1,1))</f>
        <v/>
      </c>
      <c r="M437" s="38">
        <f>IF(OR(L437="",I437=""),"",L437+I437-1)</f>
        <v/>
      </c>
      <c r="N437" s="38">
        <f>IF(A437="","",SUMIF($A$2:$A$500,A437,$I$2:$I$500))</f>
        <v/>
      </c>
    </row>
    <row r="438" ht="15" customHeight="1" s="22">
      <c r="J438" s="38">
        <f>IF(G438="","",IFERROR(INDEX(PackRates!$C:$C,MATCH(1,INDEX((PackRates!$A$1:$A$500=G438)*(PackRates!$B$1:$B$500=H438),0),0)),""))</f>
        <v/>
      </c>
      <c r="K438" s="38">
        <f>IF(OR(I438="",J438=""),"",IFERROR(I438*J438*INDEX(Products!$K:$K,MATCH(G438,Products!$A:$A,0)),""))</f>
        <v/>
      </c>
      <c r="L438" s="38">
        <f>IF(A438="","",IF(A438=A437,M437+1,1))</f>
        <v/>
      </c>
      <c r="M438" s="38">
        <f>IF(OR(L438="",I438=""),"",L438+I438-1)</f>
        <v/>
      </c>
      <c r="N438" s="38">
        <f>IF(A438="","",SUMIF($A$2:$A$500,A438,$I$2:$I$500))</f>
        <v/>
      </c>
    </row>
    <row r="439" ht="15" customHeight="1" s="22">
      <c r="J439" s="38">
        <f>IF(G439="","",IFERROR(INDEX(PackRates!$C:$C,MATCH(1,INDEX((PackRates!$A$1:$A$500=G439)*(PackRates!$B$1:$B$500=H439),0),0)),""))</f>
        <v/>
      </c>
      <c r="K439" s="38">
        <f>IF(OR(I439="",J439=""),"",IFERROR(I439*J439*INDEX(Products!$K:$K,MATCH(G439,Products!$A:$A,0)),""))</f>
        <v/>
      </c>
      <c r="L439" s="38">
        <f>IF(A439="","",IF(A439=A438,M438+1,1))</f>
        <v/>
      </c>
      <c r="M439" s="38">
        <f>IF(OR(L439="",I439=""),"",L439+I439-1)</f>
        <v/>
      </c>
      <c r="N439" s="38">
        <f>IF(A439="","",SUMIF($A$2:$A$500,A439,$I$2:$I$500))</f>
        <v/>
      </c>
    </row>
    <row r="440" ht="15" customHeight="1" s="22">
      <c r="J440" s="38">
        <f>IF(G440="","",IFERROR(INDEX(PackRates!$C:$C,MATCH(1,INDEX((PackRates!$A$1:$A$500=G440)*(PackRates!$B$1:$B$500=H440),0),0)),""))</f>
        <v/>
      </c>
      <c r="K440" s="38">
        <f>IF(OR(I440="",J440=""),"",IFERROR(I440*J440*INDEX(Products!$K:$K,MATCH(G440,Products!$A:$A,0)),""))</f>
        <v/>
      </c>
      <c r="L440" s="38">
        <f>IF(A440="","",IF(A440=A439,M439+1,1))</f>
        <v/>
      </c>
      <c r="M440" s="38">
        <f>IF(OR(L440="",I440=""),"",L440+I440-1)</f>
        <v/>
      </c>
      <c r="N440" s="38">
        <f>IF(A440="","",SUMIF($A$2:$A$500,A440,$I$2:$I$500))</f>
        <v/>
      </c>
    </row>
    <row r="441" ht="15" customHeight="1" s="22">
      <c r="J441" s="38">
        <f>IF(G441="","",IFERROR(INDEX(PackRates!$C:$C,MATCH(1,INDEX((PackRates!$A$1:$A$500=G441)*(PackRates!$B$1:$B$500=H441),0),0)),""))</f>
        <v/>
      </c>
      <c r="K441" s="38">
        <f>IF(OR(I441="",J441=""),"",IFERROR(I441*J441*INDEX(Products!$K:$K,MATCH(G441,Products!$A:$A,0)),""))</f>
        <v/>
      </c>
      <c r="L441" s="38">
        <f>IF(A441="","",IF(A441=A440,M440+1,1))</f>
        <v/>
      </c>
      <c r="M441" s="38">
        <f>IF(OR(L441="",I441=""),"",L441+I441-1)</f>
        <v/>
      </c>
      <c r="N441" s="38">
        <f>IF(A441="","",SUMIF($A$2:$A$500,A441,$I$2:$I$500))</f>
        <v/>
      </c>
    </row>
    <row r="442" ht="15" customHeight="1" s="22">
      <c r="J442" s="38">
        <f>IF(G442="","",IFERROR(INDEX(PackRates!$C:$C,MATCH(1,INDEX((PackRates!$A$1:$A$500=G442)*(PackRates!$B$1:$B$500=H442),0),0)),""))</f>
        <v/>
      </c>
      <c r="K442" s="38">
        <f>IF(OR(I442="",J442=""),"",IFERROR(I442*J442*INDEX(Products!$K:$K,MATCH(G442,Products!$A:$A,0)),""))</f>
        <v/>
      </c>
      <c r="L442" s="38">
        <f>IF(A442="","",IF(A442=A441,M441+1,1))</f>
        <v/>
      </c>
      <c r="M442" s="38">
        <f>IF(OR(L442="",I442=""),"",L442+I442-1)</f>
        <v/>
      </c>
      <c r="N442" s="38">
        <f>IF(A442="","",SUMIF($A$2:$A$500,A442,$I$2:$I$500))</f>
        <v/>
      </c>
    </row>
    <row r="443" ht="15" customHeight="1" s="22">
      <c r="J443" s="38">
        <f>IF(G443="","",IFERROR(INDEX(PackRates!$C:$C,MATCH(1,INDEX((PackRates!$A$1:$A$500=G443)*(PackRates!$B$1:$B$500=H443),0),0)),""))</f>
        <v/>
      </c>
      <c r="K443" s="38">
        <f>IF(OR(I443="",J443=""),"",IFERROR(I443*J443*INDEX(Products!$K:$K,MATCH(G443,Products!$A:$A,0)),""))</f>
        <v/>
      </c>
      <c r="L443" s="38">
        <f>IF(A443="","",IF(A443=A442,M442+1,1))</f>
        <v/>
      </c>
      <c r="M443" s="38">
        <f>IF(OR(L443="",I443=""),"",L443+I443-1)</f>
        <v/>
      </c>
      <c r="N443" s="38">
        <f>IF(A443="","",SUMIF($A$2:$A$500,A443,$I$2:$I$500))</f>
        <v/>
      </c>
    </row>
    <row r="444" ht="15" customHeight="1" s="22">
      <c r="J444" s="38">
        <f>IF(G444="","",IFERROR(INDEX(PackRates!$C:$C,MATCH(1,INDEX((PackRates!$A$1:$A$500=G444)*(PackRates!$B$1:$B$500=H444),0),0)),""))</f>
        <v/>
      </c>
      <c r="K444" s="38">
        <f>IF(OR(I444="",J444=""),"",IFERROR(I444*J444*INDEX(Products!$K:$K,MATCH(G444,Products!$A:$A,0)),""))</f>
        <v/>
      </c>
      <c r="L444" s="38">
        <f>IF(A444="","",IF(A444=A443,M443+1,1))</f>
        <v/>
      </c>
      <c r="M444" s="38">
        <f>IF(OR(L444="",I444=""),"",L444+I444-1)</f>
        <v/>
      </c>
      <c r="N444" s="38">
        <f>IF(A444="","",SUMIF($A$2:$A$500,A444,$I$2:$I$500))</f>
        <v/>
      </c>
    </row>
    <row r="445" ht="15" customHeight="1" s="22">
      <c r="J445" s="38">
        <f>IF(G445="","",IFERROR(INDEX(PackRates!$C:$C,MATCH(1,INDEX((PackRates!$A$1:$A$500=G445)*(PackRates!$B$1:$B$500=H445),0),0)),""))</f>
        <v/>
      </c>
      <c r="K445" s="38">
        <f>IF(OR(I445="",J445=""),"",IFERROR(I445*J445*INDEX(Products!$K:$K,MATCH(G445,Products!$A:$A,0)),""))</f>
        <v/>
      </c>
      <c r="L445" s="38">
        <f>IF(A445="","",IF(A445=A444,M444+1,1))</f>
        <v/>
      </c>
      <c r="M445" s="38">
        <f>IF(OR(L445="",I445=""),"",L445+I445-1)</f>
        <v/>
      </c>
      <c r="N445" s="38">
        <f>IF(A445="","",SUMIF($A$2:$A$500,A445,$I$2:$I$500))</f>
        <v/>
      </c>
    </row>
    <row r="446" ht="15" customHeight="1" s="22">
      <c r="J446" s="38">
        <f>IF(G446="","",IFERROR(INDEX(PackRates!$C:$C,MATCH(1,INDEX((PackRates!$A$1:$A$500=G446)*(PackRates!$B$1:$B$500=H446),0),0)),""))</f>
        <v/>
      </c>
      <c r="K446" s="38">
        <f>IF(OR(I446="",J446=""),"",IFERROR(I446*J446*INDEX(Products!$K:$K,MATCH(G446,Products!$A:$A,0)),""))</f>
        <v/>
      </c>
      <c r="L446" s="38">
        <f>IF(A446="","",IF(A446=A445,M445+1,1))</f>
        <v/>
      </c>
      <c r="M446" s="38">
        <f>IF(OR(L446="",I446=""),"",L446+I446-1)</f>
        <v/>
      </c>
      <c r="N446" s="38">
        <f>IF(A446="","",SUMIF($A$2:$A$500,A446,$I$2:$I$500))</f>
        <v/>
      </c>
    </row>
    <row r="447" ht="15" customHeight="1" s="22">
      <c r="J447" s="38">
        <f>IF(G447="","",IFERROR(INDEX(PackRates!$C:$C,MATCH(1,INDEX((PackRates!$A$1:$A$500=G447)*(PackRates!$B$1:$B$500=H447),0),0)),""))</f>
        <v/>
      </c>
      <c r="K447" s="38">
        <f>IF(OR(I447="",J447=""),"",IFERROR(I447*J447*INDEX(Products!$K:$K,MATCH(G447,Products!$A:$A,0)),""))</f>
        <v/>
      </c>
      <c r="L447" s="38">
        <f>IF(A447="","",IF(A447=A446,M446+1,1))</f>
        <v/>
      </c>
      <c r="M447" s="38">
        <f>IF(OR(L447="",I447=""),"",L447+I447-1)</f>
        <v/>
      </c>
      <c r="N447" s="38">
        <f>IF(A447="","",SUMIF($A$2:$A$500,A447,$I$2:$I$500))</f>
        <v/>
      </c>
    </row>
    <row r="448" ht="15" customHeight="1" s="22">
      <c r="J448" s="38">
        <f>IF(G448="","",IFERROR(INDEX(PackRates!$C:$C,MATCH(1,INDEX((PackRates!$A$1:$A$500=G448)*(PackRates!$B$1:$B$500=H448),0),0)),""))</f>
        <v/>
      </c>
      <c r="K448" s="38">
        <f>IF(OR(I448="",J448=""),"",IFERROR(I448*J448*INDEX(Products!$K:$K,MATCH(G448,Products!$A:$A,0)),""))</f>
        <v/>
      </c>
      <c r="L448" s="38">
        <f>IF(A448="","",IF(A448=A447,M447+1,1))</f>
        <v/>
      </c>
      <c r="M448" s="38">
        <f>IF(OR(L448="",I448=""),"",L448+I448-1)</f>
        <v/>
      </c>
      <c r="N448" s="38">
        <f>IF(A448="","",SUMIF($A$2:$A$500,A448,$I$2:$I$500))</f>
        <v/>
      </c>
    </row>
    <row r="449" ht="15" customHeight="1" s="22">
      <c r="J449" s="38">
        <f>IF(G449="","",IFERROR(INDEX(PackRates!$C:$C,MATCH(1,INDEX((PackRates!$A$1:$A$500=G449)*(PackRates!$B$1:$B$500=H449),0),0)),""))</f>
        <v/>
      </c>
      <c r="K449" s="38">
        <f>IF(OR(I449="",J449=""),"",IFERROR(I449*J449*INDEX(Products!$K:$K,MATCH(G449,Products!$A:$A,0)),""))</f>
        <v/>
      </c>
      <c r="L449" s="38">
        <f>IF(A449="","",IF(A449=A448,M448+1,1))</f>
        <v/>
      </c>
      <c r="M449" s="38">
        <f>IF(OR(L449="",I449=""),"",L449+I449-1)</f>
        <v/>
      </c>
      <c r="N449" s="38">
        <f>IF(A449="","",SUMIF($A$2:$A$500,A449,$I$2:$I$500))</f>
        <v/>
      </c>
    </row>
    <row r="450" ht="15" customHeight="1" s="22">
      <c r="J450" s="38">
        <f>IF(G450="","",IFERROR(INDEX(PackRates!$C:$C,MATCH(1,INDEX((PackRates!$A$1:$A$500=G450)*(PackRates!$B$1:$B$500=H450),0),0)),""))</f>
        <v/>
      </c>
      <c r="K450" s="38">
        <f>IF(OR(I450="",J450=""),"",IFERROR(I450*J450*INDEX(Products!$K:$K,MATCH(G450,Products!$A:$A,0)),""))</f>
        <v/>
      </c>
      <c r="L450" s="38">
        <f>IF(A450="","",IF(A450=A449,M449+1,1))</f>
        <v/>
      </c>
      <c r="M450" s="38">
        <f>IF(OR(L450="",I450=""),"",L450+I450-1)</f>
        <v/>
      </c>
      <c r="N450" s="38">
        <f>IF(A450="","",SUMIF($A$2:$A$500,A450,$I$2:$I$500))</f>
        <v/>
      </c>
    </row>
    <row r="451" ht="15" customHeight="1" s="22">
      <c r="J451" s="38">
        <f>IF(G451="","",IFERROR(INDEX(PackRates!$C:$C,MATCH(1,INDEX((PackRates!$A$1:$A$500=G451)*(PackRates!$B$1:$B$500=H451),0),0)),""))</f>
        <v/>
      </c>
      <c r="K451" s="38">
        <f>IF(OR(I451="",J451=""),"",IFERROR(I451*J451*INDEX(Products!$K:$K,MATCH(G451,Products!$A:$A,0)),""))</f>
        <v/>
      </c>
      <c r="L451" s="38">
        <f>IF(A451="","",IF(A451=A450,M450+1,1))</f>
        <v/>
      </c>
      <c r="M451" s="38">
        <f>IF(OR(L451="",I451=""),"",L451+I451-1)</f>
        <v/>
      </c>
      <c r="N451" s="38">
        <f>IF(A451="","",SUMIF($A$2:$A$500,A451,$I$2:$I$500))</f>
        <v/>
      </c>
    </row>
    <row r="452" ht="15" customHeight="1" s="22">
      <c r="J452" s="38">
        <f>IF(G452="","",IFERROR(INDEX(PackRates!$C:$C,MATCH(1,INDEX((PackRates!$A$1:$A$500=G452)*(PackRates!$B$1:$B$500=H452),0),0)),""))</f>
        <v/>
      </c>
      <c r="K452" s="38">
        <f>IF(OR(I452="",J452=""),"",IFERROR(I452*J452*INDEX(Products!$K:$K,MATCH(G452,Products!$A:$A,0)),""))</f>
        <v/>
      </c>
      <c r="L452" s="38">
        <f>IF(A452="","",IF(A452=A451,M451+1,1))</f>
        <v/>
      </c>
      <c r="M452" s="38">
        <f>IF(OR(L452="",I452=""),"",L452+I452-1)</f>
        <v/>
      </c>
      <c r="N452" s="38">
        <f>IF(A452="","",SUMIF($A$2:$A$500,A452,$I$2:$I$500))</f>
        <v/>
      </c>
    </row>
    <row r="453" ht="15" customHeight="1" s="22">
      <c r="J453" s="38">
        <f>IF(G453="","",IFERROR(INDEX(PackRates!$C:$C,MATCH(1,INDEX((PackRates!$A$1:$A$500=G453)*(PackRates!$B$1:$B$500=H453),0),0)),""))</f>
        <v/>
      </c>
      <c r="K453" s="38">
        <f>IF(OR(I453="",J453=""),"",IFERROR(I453*J453*INDEX(Products!$K:$K,MATCH(G453,Products!$A:$A,0)),""))</f>
        <v/>
      </c>
      <c r="L453" s="38">
        <f>IF(A453="","",IF(A453=A452,M452+1,1))</f>
        <v/>
      </c>
      <c r="M453" s="38">
        <f>IF(OR(L453="",I453=""),"",L453+I453-1)</f>
        <v/>
      </c>
      <c r="N453" s="38">
        <f>IF(A453="","",SUMIF($A$2:$A$500,A453,$I$2:$I$500))</f>
        <v/>
      </c>
    </row>
    <row r="454" ht="15" customHeight="1" s="22">
      <c r="J454" s="38">
        <f>IF(G454="","",IFERROR(INDEX(PackRates!$C:$C,MATCH(1,INDEX((PackRates!$A$1:$A$500=G454)*(PackRates!$B$1:$B$500=H454),0),0)),""))</f>
        <v/>
      </c>
      <c r="K454" s="38">
        <f>IF(OR(I454="",J454=""),"",IFERROR(I454*J454*INDEX(Products!$K:$K,MATCH(G454,Products!$A:$A,0)),""))</f>
        <v/>
      </c>
      <c r="L454" s="38">
        <f>IF(A454="","",IF(A454=A453,M453+1,1))</f>
        <v/>
      </c>
      <c r="M454" s="38">
        <f>IF(OR(L454="",I454=""),"",L454+I454-1)</f>
        <v/>
      </c>
      <c r="N454" s="38">
        <f>IF(A454="","",SUMIF($A$2:$A$500,A454,$I$2:$I$500))</f>
        <v/>
      </c>
    </row>
    <row r="455" ht="15" customHeight="1" s="22">
      <c r="J455" s="38">
        <f>IF(G455="","",IFERROR(INDEX(PackRates!$C:$C,MATCH(1,INDEX((PackRates!$A$1:$A$500=G455)*(PackRates!$B$1:$B$500=H455),0),0)),""))</f>
        <v/>
      </c>
      <c r="K455" s="38">
        <f>IF(OR(I455="",J455=""),"",IFERROR(I455*J455*INDEX(Products!$K:$K,MATCH(G455,Products!$A:$A,0)),""))</f>
        <v/>
      </c>
      <c r="L455" s="38">
        <f>IF(A455="","",IF(A455=A454,M454+1,1))</f>
        <v/>
      </c>
      <c r="M455" s="38">
        <f>IF(OR(L455="",I455=""),"",L455+I455-1)</f>
        <v/>
      </c>
      <c r="N455" s="38">
        <f>IF(A455="","",SUMIF($A$2:$A$500,A455,$I$2:$I$500))</f>
        <v/>
      </c>
    </row>
    <row r="456" ht="15" customHeight="1" s="22">
      <c r="J456" s="38">
        <f>IF(G456="","",IFERROR(INDEX(PackRates!$C:$C,MATCH(1,INDEX((PackRates!$A$1:$A$500=G456)*(PackRates!$B$1:$B$500=H456),0),0)),""))</f>
        <v/>
      </c>
      <c r="K456" s="38">
        <f>IF(OR(I456="",J456=""),"",IFERROR(I456*J456*INDEX(Products!$K:$K,MATCH(G456,Products!$A:$A,0)),""))</f>
        <v/>
      </c>
      <c r="L456" s="38">
        <f>IF(A456="","",IF(A456=A455,M455+1,1))</f>
        <v/>
      </c>
      <c r="M456" s="38">
        <f>IF(OR(L456="",I456=""),"",L456+I456-1)</f>
        <v/>
      </c>
      <c r="N456" s="38">
        <f>IF(A456="","",SUMIF($A$2:$A$500,A456,$I$2:$I$500))</f>
        <v/>
      </c>
    </row>
    <row r="457" ht="15" customHeight="1" s="22">
      <c r="J457" s="38">
        <f>IF(G457="","",IFERROR(INDEX(PackRates!$C:$C,MATCH(1,INDEX((PackRates!$A$1:$A$500=G457)*(PackRates!$B$1:$B$500=H457),0),0)),""))</f>
        <v/>
      </c>
      <c r="K457" s="38">
        <f>IF(OR(I457="",J457=""),"",IFERROR(I457*J457*INDEX(Products!$K:$K,MATCH(G457,Products!$A:$A,0)),""))</f>
        <v/>
      </c>
      <c r="L457" s="38">
        <f>IF(A457="","",IF(A457=A456,M456+1,1))</f>
        <v/>
      </c>
      <c r="M457" s="38">
        <f>IF(OR(L457="",I457=""),"",L457+I457-1)</f>
        <v/>
      </c>
      <c r="N457" s="38">
        <f>IF(A457="","",SUMIF($A$2:$A$500,A457,$I$2:$I$500))</f>
        <v/>
      </c>
    </row>
    <row r="458" ht="15" customHeight="1" s="22">
      <c r="J458" s="38">
        <f>IF(G458="","",IFERROR(INDEX(PackRates!$C:$C,MATCH(1,INDEX((PackRates!$A$1:$A$500=G458)*(PackRates!$B$1:$B$500=H458),0),0)),""))</f>
        <v/>
      </c>
      <c r="K458" s="38">
        <f>IF(OR(I458="",J458=""),"",IFERROR(I458*J458*INDEX(Products!$K:$K,MATCH(G458,Products!$A:$A,0)),""))</f>
        <v/>
      </c>
      <c r="L458" s="38">
        <f>IF(A458="","",IF(A458=A457,M457+1,1))</f>
        <v/>
      </c>
      <c r="M458" s="38">
        <f>IF(OR(L458="",I458=""),"",L458+I458-1)</f>
        <v/>
      </c>
      <c r="N458" s="38">
        <f>IF(A458="","",SUMIF($A$2:$A$500,A458,$I$2:$I$500))</f>
        <v/>
      </c>
    </row>
    <row r="459" ht="15" customHeight="1" s="22">
      <c r="J459" s="38">
        <f>IF(G459="","",IFERROR(INDEX(PackRates!$C:$C,MATCH(1,INDEX((PackRates!$A$1:$A$500=G459)*(PackRates!$B$1:$B$500=H459),0),0)),""))</f>
        <v/>
      </c>
      <c r="K459" s="38">
        <f>IF(OR(I459="",J459=""),"",IFERROR(I459*J459*INDEX(Products!$K:$K,MATCH(G459,Products!$A:$A,0)),""))</f>
        <v/>
      </c>
      <c r="L459" s="38">
        <f>IF(A459="","",IF(A459=A458,M458+1,1))</f>
        <v/>
      </c>
      <c r="M459" s="38">
        <f>IF(OR(L459="",I459=""),"",L459+I459-1)</f>
        <v/>
      </c>
      <c r="N459" s="38">
        <f>IF(A459="","",SUMIF($A$2:$A$500,A459,$I$2:$I$500))</f>
        <v/>
      </c>
    </row>
    <row r="460" ht="15" customHeight="1" s="22">
      <c r="J460" s="38">
        <f>IF(G460="","",IFERROR(INDEX(PackRates!$C:$C,MATCH(1,INDEX((PackRates!$A$1:$A$500=G460)*(PackRates!$B$1:$B$500=H460),0),0)),""))</f>
        <v/>
      </c>
      <c r="K460" s="38">
        <f>IF(OR(I460="",J460=""),"",IFERROR(I460*J460*INDEX(Products!$K:$K,MATCH(G460,Products!$A:$A,0)),""))</f>
        <v/>
      </c>
      <c r="L460" s="38">
        <f>IF(A460="","",IF(A460=A459,M459+1,1))</f>
        <v/>
      </c>
      <c r="M460" s="38">
        <f>IF(OR(L460="",I460=""),"",L460+I460-1)</f>
        <v/>
      </c>
      <c r="N460" s="38">
        <f>IF(A460="","",SUMIF($A$2:$A$500,A460,$I$2:$I$500))</f>
        <v/>
      </c>
    </row>
    <row r="461" ht="15" customHeight="1" s="22">
      <c r="J461" s="38">
        <f>IF(G461="","",IFERROR(INDEX(PackRates!$C:$C,MATCH(1,INDEX((PackRates!$A$1:$A$500=G461)*(PackRates!$B$1:$B$500=H461),0),0)),""))</f>
        <v/>
      </c>
      <c r="K461" s="38">
        <f>IF(OR(I461="",J461=""),"",IFERROR(I461*J461*INDEX(Products!$K:$K,MATCH(G461,Products!$A:$A,0)),""))</f>
        <v/>
      </c>
      <c r="L461" s="38">
        <f>IF(A461="","",IF(A461=A460,M460+1,1))</f>
        <v/>
      </c>
      <c r="M461" s="38">
        <f>IF(OR(L461="",I461=""),"",L461+I461-1)</f>
        <v/>
      </c>
      <c r="N461" s="38">
        <f>IF(A461="","",SUMIF($A$2:$A$500,A461,$I$2:$I$500))</f>
        <v/>
      </c>
    </row>
    <row r="462" ht="15" customHeight="1" s="22">
      <c r="J462" s="38">
        <f>IF(G462="","",IFERROR(INDEX(PackRates!$C:$C,MATCH(1,INDEX((PackRates!$A$1:$A$500=G462)*(PackRates!$B$1:$B$500=H462),0),0)),""))</f>
        <v/>
      </c>
      <c r="K462" s="38">
        <f>IF(OR(I462="",J462=""),"",IFERROR(I462*J462*INDEX(Products!$K:$K,MATCH(G462,Products!$A:$A,0)),""))</f>
        <v/>
      </c>
      <c r="L462" s="38">
        <f>IF(A462="","",IF(A462=A461,M461+1,1))</f>
        <v/>
      </c>
      <c r="M462" s="38">
        <f>IF(OR(L462="",I462=""),"",L462+I462-1)</f>
        <v/>
      </c>
      <c r="N462" s="38">
        <f>IF(A462="","",SUMIF($A$2:$A$500,A462,$I$2:$I$500))</f>
        <v/>
      </c>
    </row>
    <row r="463" ht="15" customHeight="1" s="22">
      <c r="J463" s="38">
        <f>IF(G463="","",IFERROR(INDEX(PackRates!$C:$C,MATCH(1,INDEX((PackRates!$A$1:$A$500=G463)*(PackRates!$B$1:$B$500=H463),0),0)),""))</f>
        <v/>
      </c>
      <c r="K463" s="38">
        <f>IF(OR(I463="",J463=""),"",IFERROR(I463*J463*INDEX(Products!$K:$K,MATCH(G463,Products!$A:$A,0)),""))</f>
        <v/>
      </c>
      <c r="L463" s="38">
        <f>IF(A463="","",IF(A463=A462,M462+1,1))</f>
        <v/>
      </c>
      <c r="M463" s="38">
        <f>IF(OR(L463="",I463=""),"",L463+I463-1)</f>
        <v/>
      </c>
      <c r="N463" s="38">
        <f>IF(A463="","",SUMIF($A$2:$A$500,A463,$I$2:$I$500))</f>
        <v/>
      </c>
    </row>
    <row r="464" ht="15" customHeight="1" s="22">
      <c r="J464" s="38">
        <f>IF(G464="","",IFERROR(INDEX(PackRates!$C:$C,MATCH(1,INDEX((PackRates!$A$1:$A$500=G464)*(PackRates!$B$1:$B$500=H464),0),0)),""))</f>
        <v/>
      </c>
      <c r="K464" s="38">
        <f>IF(OR(I464="",J464=""),"",IFERROR(I464*J464*INDEX(Products!$K:$K,MATCH(G464,Products!$A:$A,0)),""))</f>
        <v/>
      </c>
      <c r="L464" s="38">
        <f>IF(A464="","",IF(A464=A463,M463+1,1))</f>
        <v/>
      </c>
      <c r="M464" s="38">
        <f>IF(OR(L464="",I464=""),"",L464+I464-1)</f>
        <v/>
      </c>
      <c r="N464" s="38">
        <f>IF(A464="","",SUMIF($A$2:$A$500,A464,$I$2:$I$500))</f>
        <v/>
      </c>
    </row>
    <row r="465" ht="15" customHeight="1" s="22">
      <c r="J465" s="38">
        <f>IF(G465="","",IFERROR(INDEX(PackRates!$C:$C,MATCH(1,INDEX((PackRates!$A$1:$A$500=G465)*(PackRates!$B$1:$B$500=H465),0),0)),""))</f>
        <v/>
      </c>
      <c r="K465" s="38">
        <f>IF(OR(I465="",J465=""),"",IFERROR(I465*J465*INDEX(Products!$K:$K,MATCH(G465,Products!$A:$A,0)),""))</f>
        <v/>
      </c>
      <c r="L465" s="38">
        <f>IF(A465="","",IF(A465=A464,M464+1,1))</f>
        <v/>
      </c>
      <c r="M465" s="38">
        <f>IF(OR(L465="",I465=""),"",L465+I465-1)</f>
        <v/>
      </c>
      <c r="N465" s="38">
        <f>IF(A465="","",SUMIF($A$2:$A$500,A465,$I$2:$I$500))</f>
        <v/>
      </c>
    </row>
    <row r="466" ht="15" customHeight="1" s="22">
      <c r="J466" s="38">
        <f>IF(G466="","",IFERROR(INDEX(PackRates!$C:$C,MATCH(1,INDEX((PackRates!$A$1:$A$500=G466)*(PackRates!$B$1:$B$500=H466),0),0)),""))</f>
        <v/>
      </c>
      <c r="K466" s="38">
        <f>IF(OR(I466="",J466=""),"",IFERROR(I466*J466*INDEX(Products!$K:$K,MATCH(G466,Products!$A:$A,0)),""))</f>
        <v/>
      </c>
      <c r="L466" s="38">
        <f>IF(A466="","",IF(A466=A465,M465+1,1))</f>
        <v/>
      </c>
      <c r="M466" s="38">
        <f>IF(OR(L466="",I466=""),"",L466+I466-1)</f>
        <v/>
      </c>
      <c r="N466" s="38">
        <f>IF(A466="","",SUMIF($A$2:$A$500,A466,$I$2:$I$500))</f>
        <v/>
      </c>
    </row>
    <row r="467" ht="15" customHeight="1" s="22">
      <c r="J467" s="38">
        <f>IF(G467="","",IFERROR(INDEX(PackRates!$C:$C,MATCH(1,INDEX((PackRates!$A$1:$A$500=G467)*(PackRates!$B$1:$B$500=H467),0),0)),""))</f>
        <v/>
      </c>
      <c r="K467" s="38">
        <f>IF(OR(I467="",J467=""),"",IFERROR(I467*J467*INDEX(Products!$K:$K,MATCH(G467,Products!$A:$A,0)),""))</f>
        <v/>
      </c>
      <c r="L467" s="38">
        <f>IF(A467="","",IF(A467=A466,M466+1,1))</f>
        <v/>
      </c>
      <c r="M467" s="38">
        <f>IF(OR(L467="",I467=""),"",L467+I467-1)</f>
        <v/>
      </c>
      <c r="N467" s="38">
        <f>IF(A467="","",SUMIF($A$2:$A$500,A467,$I$2:$I$500))</f>
        <v/>
      </c>
    </row>
    <row r="468" ht="15" customHeight="1" s="22">
      <c r="J468" s="38">
        <f>IF(G468="","",IFERROR(INDEX(PackRates!$C:$C,MATCH(1,INDEX((PackRates!$A$1:$A$500=G468)*(PackRates!$B$1:$B$500=H468),0),0)),""))</f>
        <v/>
      </c>
      <c r="K468" s="38">
        <f>IF(OR(I468="",J468=""),"",IFERROR(I468*J468*INDEX(Products!$K:$K,MATCH(G468,Products!$A:$A,0)),""))</f>
        <v/>
      </c>
      <c r="L468" s="38">
        <f>IF(A468="","",IF(A468=A467,M467+1,1))</f>
        <v/>
      </c>
      <c r="M468" s="38">
        <f>IF(OR(L468="",I468=""),"",L468+I468-1)</f>
        <v/>
      </c>
      <c r="N468" s="38">
        <f>IF(A468="","",SUMIF($A$2:$A$500,A468,$I$2:$I$500))</f>
        <v/>
      </c>
    </row>
    <row r="469" ht="15" customHeight="1" s="22">
      <c r="J469" s="38">
        <f>IF(G469="","",IFERROR(INDEX(PackRates!$C:$C,MATCH(1,INDEX((PackRates!$A$1:$A$500=G469)*(PackRates!$B$1:$B$500=H469),0),0)),""))</f>
        <v/>
      </c>
      <c r="K469" s="38">
        <f>IF(OR(I469="",J469=""),"",IFERROR(I469*J469*INDEX(Products!$K:$K,MATCH(G469,Products!$A:$A,0)),""))</f>
        <v/>
      </c>
      <c r="L469" s="38">
        <f>IF(A469="","",IF(A469=A468,M468+1,1))</f>
        <v/>
      </c>
      <c r="M469" s="38">
        <f>IF(OR(L469="",I469=""),"",L469+I469-1)</f>
        <v/>
      </c>
      <c r="N469" s="38">
        <f>IF(A469="","",SUMIF($A$2:$A$500,A469,$I$2:$I$500))</f>
        <v/>
      </c>
    </row>
    <row r="470" ht="15" customHeight="1" s="22">
      <c r="J470" s="38">
        <f>IF(G470="","",IFERROR(INDEX(PackRates!$C:$C,MATCH(1,INDEX((PackRates!$A$1:$A$500=G470)*(PackRates!$B$1:$B$500=H470),0),0)),""))</f>
        <v/>
      </c>
      <c r="K470" s="38">
        <f>IF(OR(I470="",J470=""),"",IFERROR(I470*J470*INDEX(Products!$K:$K,MATCH(G470,Products!$A:$A,0)),""))</f>
        <v/>
      </c>
      <c r="L470" s="38">
        <f>IF(A470="","",IF(A470=A469,M469+1,1))</f>
        <v/>
      </c>
      <c r="M470" s="38">
        <f>IF(OR(L470="",I470=""),"",L470+I470-1)</f>
        <v/>
      </c>
      <c r="N470" s="38">
        <f>IF(A470="","",SUMIF($A$2:$A$500,A470,$I$2:$I$500))</f>
        <v/>
      </c>
    </row>
    <row r="471" ht="15" customHeight="1" s="22">
      <c r="J471" s="38">
        <f>IF(G471="","",IFERROR(INDEX(PackRates!$C:$C,MATCH(1,INDEX((PackRates!$A$1:$A$500=G471)*(PackRates!$B$1:$B$500=H471),0),0)),""))</f>
        <v/>
      </c>
      <c r="K471" s="38">
        <f>IF(OR(I471="",J471=""),"",IFERROR(I471*J471*INDEX(Products!$K:$K,MATCH(G471,Products!$A:$A,0)),""))</f>
        <v/>
      </c>
      <c r="L471" s="38">
        <f>IF(A471="","",IF(A471=A470,M470+1,1))</f>
        <v/>
      </c>
      <c r="M471" s="38">
        <f>IF(OR(L471="",I471=""),"",L471+I471-1)</f>
        <v/>
      </c>
      <c r="N471" s="38">
        <f>IF(A471="","",SUMIF($A$2:$A$500,A471,$I$2:$I$500))</f>
        <v/>
      </c>
    </row>
    <row r="472" ht="15" customHeight="1" s="22">
      <c r="J472" s="38">
        <f>IF(G472="","",IFERROR(INDEX(PackRates!$C:$C,MATCH(1,INDEX((PackRates!$A$1:$A$500=G472)*(PackRates!$B$1:$B$500=H472),0),0)),""))</f>
        <v/>
      </c>
      <c r="K472" s="38">
        <f>IF(OR(I472="",J472=""),"",IFERROR(I472*J472*INDEX(Products!$K:$K,MATCH(G472,Products!$A:$A,0)),""))</f>
        <v/>
      </c>
      <c r="L472" s="38">
        <f>IF(A472="","",IF(A472=A471,M471+1,1))</f>
        <v/>
      </c>
      <c r="M472" s="38">
        <f>IF(OR(L472="",I472=""),"",L472+I472-1)</f>
        <v/>
      </c>
      <c r="N472" s="38">
        <f>IF(A472="","",SUMIF($A$2:$A$500,A472,$I$2:$I$500))</f>
        <v/>
      </c>
    </row>
    <row r="473" ht="15" customHeight="1" s="22">
      <c r="J473" s="38">
        <f>IF(G473="","",IFERROR(INDEX(PackRates!$C:$C,MATCH(1,INDEX((PackRates!$A$1:$A$500=G473)*(PackRates!$B$1:$B$500=H473),0),0)),""))</f>
        <v/>
      </c>
      <c r="K473" s="38">
        <f>IF(OR(I473="",J473=""),"",IFERROR(I473*J473*INDEX(Products!$K:$K,MATCH(G473,Products!$A:$A,0)),""))</f>
        <v/>
      </c>
      <c r="L473" s="38">
        <f>IF(A473="","",IF(A473=A472,M472+1,1))</f>
        <v/>
      </c>
      <c r="M473" s="38">
        <f>IF(OR(L473="",I473=""),"",L473+I473-1)</f>
        <v/>
      </c>
      <c r="N473" s="38">
        <f>IF(A473="","",SUMIF($A$2:$A$500,A473,$I$2:$I$500))</f>
        <v/>
      </c>
    </row>
    <row r="474" ht="15" customHeight="1" s="22">
      <c r="J474" s="38">
        <f>IF(G474="","",IFERROR(INDEX(PackRates!$C:$C,MATCH(1,INDEX((PackRates!$A$1:$A$500=G474)*(PackRates!$B$1:$B$500=H474),0),0)),""))</f>
        <v/>
      </c>
      <c r="K474" s="38">
        <f>IF(OR(I474="",J474=""),"",IFERROR(I474*J474*INDEX(Products!$K:$K,MATCH(G474,Products!$A:$A,0)),""))</f>
        <v/>
      </c>
      <c r="L474" s="38">
        <f>IF(A474="","",IF(A474=A473,M473+1,1))</f>
        <v/>
      </c>
      <c r="M474" s="38">
        <f>IF(OR(L474="",I474=""),"",L474+I474-1)</f>
        <v/>
      </c>
      <c r="N474" s="38">
        <f>IF(A474="","",SUMIF($A$2:$A$500,A474,$I$2:$I$500))</f>
        <v/>
      </c>
    </row>
    <row r="475" ht="15" customHeight="1" s="22">
      <c r="J475" s="38">
        <f>IF(G475="","",IFERROR(INDEX(PackRates!$C:$C,MATCH(1,INDEX((PackRates!$A$1:$A$500=G475)*(PackRates!$B$1:$B$500=H475),0),0)),""))</f>
        <v/>
      </c>
      <c r="K475" s="38">
        <f>IF(OR(I475="",J475=""),"",IFERROR(I475*J475*INDEX(Products!$K:$K,MATCH(G475,Products!$A:$A,0)),""))</f>
        <v/>
      </c>
      <c r="L475" s="38">
        <f>IF(A475="","",IF(A475=A474,M474+1,1))</f>
        <v/>
      </c>
      <c r="M475" s="38">
        <f>IF(OR(L475="",I475=""),"",L475+I475-1)</f>
        <v/>
      </c>
      <c r="N475" s="38">
        <f>IF(A475="","",SUMIF($A$2:$A$500,A475,$I$2:$I$500))</f>
        <v/>
      </c>
    </row>
    <row r="476" ht="15" customHeight="1" s="22">
      <c r="J476" s="38">
        <f>IF(G476="","",IFERROR(INDEX(PackRates!$C:$C,MATCH(1,INDEX((PackRates!$A$1:$A$500=G476)*(PackRates!$B$1:$B$500=H476),0),0)),""))</f>
        <v/>
      </c>
      <c r="K476" s="38">
        <f>IF(OR(I476="",J476=""),"",IFERROR(I476*J476*INDEX(Products!$K:$K,MATCH(G476,Products!$A:$A,0)),""))</f>
        <v/>
      </c>
      <c r="L476" s="38">
        <f>IF(A476="","",IF(A476=A475,M475+1,1))</f>
        <v/>
      </c>
      <c r="M476" s="38">
        <f>IF(OR(L476="",I476=""),"",L476+I476-1)</f>
        <v/>
      </c>
      <c r="N476" s="38">
        <f>IF(A476="","",SUMIF($A$2:$A$500,A476,$I$2:$I$500))</f>
        <v/>
      </c>
    </row>
    <row r="477" ht="15" customHeight="1" s="22">
      <c r="J477" s="38">
        <f>IF(G477="","",IFERROR(INDEX(PackRates!$C:$C,MATCH(1,INDEX((PackRates!$A$1:$A$500=G477)*(PackRates!$B$1:$B$500=H477),0),0)),""))</f>
        <v/>
      </c>
      <c r="K477" s="38">
        <f>IF(OR(I477="",J477=""),"",IFERROR(I477*J477*INDEX(Products!$K:$K,MATCH(G477,Products!$A:$A,0)),""))</f>
        <v/>
      </c>
      <c r="L477" s="38">
        <f>IF(A477="","",IF(A477=A476,M476+1,1))</f>
        <v/>
      </c>
      <c r="M477" s="38">
        <f>IF(OR(L477="",I477=""),"",L477+I477-1)</f>
        <v/>
      </c>
      <c r="N477" s="38">
        <f>IF(A477="","",SUMIF($A$2:$A$500,A477,$I$2:$I$500))</f>
        <v/>
      </c>
    </row>
    <row r="478" ht="15" customHeight="1" s="22">
      <c r="J478" s="38">
        <f>IF(G478="","",IFERROR(INDEX(PackRates!$C:$C,MATCH(1,INDEX((PackRates!$A$1:$A$500=G478)*(PackRates!$B$1:$B$500=H478),0),0)),""))</f>
        <v/>
      </c>
      <c r="K478" s="38">
        <f>IF(OR(I478="",J478=""),"",IFERROR(I478*J478*INDEX(Products!$K:$K,MATCH(G478,Products!$A:$A,0)),""))</f>
        <v/>
      </c>
      <c r="L478" s="38">
        <f>IF(A478="","",IF(A478=A477,M477+1,1))</f>
        <v/>
      </c>
      <c r="M478" s="38">
        <f>IF(OR(L478="",I478=""),"",L478+I478-1)</f>
        <v/>
      </c>
      <c r="N478" s="38">
        <f>IF(A478="","",SUMIF($A$2:$A$500,A478,$I$2:$I$500))</f>
        <v/>
      </c>
    </row>
    <row r="479" ht="15" customHeight="1" s="22">
      <c r="J479" s="38">
        <f>IF(G479="","",IFERROR(INDEX(PackRates!$C:$C,MATCH(1,INDEX((PackRates!$A$1:$A$500=G479)*(PackRates!$B$1:$B$500=H479),0),0)),""))</f>
        <v/>
      </c>
      <c r="K479" s="38">
        <f>IF(OR(I479="",J479=""),"",IFERROR(I479*J479*INDEX(Products!$K:$K,MATCH(G479,Products!$A:$A,0)),""))</f>
        <v/>
      </c>
      <c r="L479" s="38">
        <f>IF(A479="","",IF(A479=A478,M478+1,1))</f>
        <v/>
      </c>
      <c r="M479" s="38">
        <f>IF(OR(L479="",I479=""),"",L479+I479-1)</f>
        <v/>
      </c>
      <c r="N479" s="38">
        <f>IF(A479="","",SUMIF($A$2:$A$500,A479,$I$2:$I$500))</f>
        <v/>
      </c>
    </row>
    <row r="480" ht="15" customHeight="1" s="22">
      <c r="J480" s="38">
        <f>IF(G480="","",IFERROR(INDEX(PackRates!$C:$C,MATCH(1,INDEX((PackRates!$A$1:$A$500=G480)*(PackRates!$B$1:$B$500=H480),0),0)),""))</f>
        <v/>
      </c>
      <c r="K480" s="38">
        <f>IF(OR(I480="",J480=""),"",IFERROR(I480*J480*INDEX(Products!$K:$K,MATCH(G480,Products!$A:$A,0)),""))</f>
        <v/>
      </c>
      <c r="L480" s="38">
        <f>IF(A480="","",IF(A480=A479,M479+1,1))</f>
        <v/>
      </c>
      <c r="M480" s="38">
        <f>IF(OR(L480="",I480=""),"",L480+I480-1)</f>
        <v/>
      </c>
      <c r="N480" s="38">
        <f>IF(A480="","",SUMIF($A$2:$A$500,A480,$I$2:$I$500))</f>
        <v/>
      </c>
    </row>
    <row r="481" ht="15" customHeight="1" s="22">
      <c r="J481" s="38">
        <f>IF(G481="","",IFERROR(INDEX(PackRates!$C:$C,MATCH(1,INDEX((PackRates!$A$1:$A$500=G481)*(PackRates!$B$1:$B$500=H481),0),0)),""))</f>
        <v/>
      </c>
      <c r="K481" s="38">
        <f>IF(OR(I481="",J481=""),"",IFERROR(I481*J481*INDEX(Products!$K:$K,MATCH(G481,Products!$A:$A,0)),""))</f>
        <v/>
      </c>
      <c r="L481" s="38">
        <f>IF(A481="","",IF(A481=A480,M480+1,1))</f>
        <v/>
      </c>
      <c r="M481" s="38">
        <f>IF(OR(L481="",I481=""),"",L481+I481-1)</f>
        <v/>
      </c>
      <c r="N481" s="38">
        <f>IF(A481="","",SUMIF($A$2:$A$500,A481,$I$2:$I$500))</f>
        <v/>
      </c>
    </row>
    <row r="482" ht="15" customHeight="1" s="22">
      <c r="J482" s="38">
        <f>IF(G482="","",IFERROR(INDEX(PackRates!$C:$C,MATCH(1,INDEX((PackRates!$A$1:$A$500=G482)*(PackRates!$B$1:$B$500=H482),0),0)),""))</f>
        <v/>
      </c>
      <c r="K482" s="38">
        <f>IF(OR(I482="",J482=""),"",IFERROR(I482*J482*INDEX(Products!$K:$K,MATCH(G482,Products!$A:$A,0)),""))</f>
        <v/>
      </c>
      <c r="L482" s="38">
        <f>IF(A482="","",IF(A482=A481,M481+1,1))</f>
        <v/>
      </c>
      <c r="M482" s="38">
        <f>IF(OR(L482="",I482=""),"",L482+I482-1)</f>
        <v/>
      </c>
      <c r="N482" s="38">
        <f>IF(A482="","",SUMIF($A$2:$A$500,A482,$I$2:$I$500))</f>
        <v/>
      </c>
    </row>
    <row r="483" ht="15" customHeight="1" s="22">
      <c r="J483" s="38">
        <f>IF(G483="","",IFERROR(INDEX(PackRates!$C:$C,MATCH(1,INDEX((PackRates!$A$1:$A$500=G483)*(PackRates!$B$1:$B$500=H483),0),0)),""))</f>
        <v/>
      </c>
      <c r="K483" s="38">
        <f>IF(OR(I483="",J483=""),"",IFERROR(I483*J483*INDEX(Products!$K:$K,MATCH(G483,Products!$A:$A,0)),""))</f>
        <v/>
      </c>
      <c r="L483" s="38">
        <f>IF(A483="","",IF(A483=A482,M482+1,1))</f>
        <v/>
      </c>
      <c r="M483" s="38">
        <f>IF(OR(L483="",I483=""),"",L483+I483-1)</f>
        <v/>
      </c>
      <c r="N483" s="38">
        <f>IF(A483="","",SUMIF($A$2:$A$500,A483,$I$2:$I$500))</f>
        <v/>
      </c>
    </row>
    <row r="484" ht="15" customHeight="1" s="22">
      <c r="J484" s="38">
        <f>IF(G484="","",IFERROR(INDEX(PackRates!$C:$C,MATCH(1,INDEX((PackRates!$A$1:$A$500=G484)*(PackRates!$B$1:$B$500=H484),0),0)),""))</f>
        <v/>
      </c>
      <c r="K484" s="38">
        <f>IF(OR(I484="",J484=""),"",IFERROR(I484*J484*INDEX(Products!$K:$K,MATCH(G484,Products!$A:$A,0)),""))</f>
        <v/>
      </c>
      <c r="L484" s="38">
        <f>IF(A484="","",IF(A484=A483,M483+1,1))</f>
        <v/>
      </c>
      <c r="M484" s="38">
        <f>IF(OR(L484="",I484=""),"",L484+I484-1)</f>
        <v/>
      </c>
      <c r="N484" s="38">
        <f>IF(A484="","",SUMIF($A$2:$A$500,A484,$I$2:$I$500))</f>
        <v/>
      </c>
    </row>
    <row r="485" ht="15" customHeight="1" s="22">
      <c r="J485" s="38">
        <f>IF(G485="","",IFERROR(INDEX(PackRates!$C:$C,MATCH(1,INDEX((PackRates!$A$1:$A$500=G485)*(PackRates!$B$1:$B$500=H485),0),0)),""))</f>
        <v/>
      </c>
      <c r="K485" s="38">
        <f>IF(OR(I485="",J485=""),"",IFERROR(I485*J485*INDEX(Products!$K:$K,MATCH(G485,Products!$A:$A,0)),""))</f>
        <v/>
      </c>
      <c r="L485" s="38">
        <f>IF(A485="","",IF(A485=A484,M484+1,1))</f>
        <v/>
      </c>
      <c r="M485" s="38">
        <f>IF(OR(L485="",I485=""),"",L485+I485-1)</f>
        <v/>
      </c>
      <c r="N485" s="38">
        <f>IF(A485="","",SUMIF($A$2:$A$500,A485,$I$2:$I$500))</f>
        <v/>
      </c>
    </row>
    <row r="486" ht="15" customHeight="1" s="22">
      <c r="J486" s="38">
        <f>IF(G486="","",IFERROR(INDEX(PackRates!$C:$C,MATCH(1,INDEX((PackRates!$A$1:$A$500=G486)*(PackRates!$B$1:$B$500=H486),0),0)),""))</f>
        <v/>
      </c>
      <c r="K486" s="38">
        <f>IF(OR(I486="",J486=""),"",IFERROR(I486*J486*INDEX(Products!$K:$K,MATCH(G486,Products!$A:$A,0)),""))</f>
        <v/>
      </c>
      <c r="L486" s="38">
        <f>IF(A486="","",IF(A486=A485,M485+1,1))</f>
        <v/>
      </c>
      <c r="M486" s="38">
        <f>IF(OR(L486="",I486=""),"",L486+I486-1)</f>
        <v/>
      </c>
      <c r="N486" s="38">
        <f>IF(A486="","",SUMIF($A$2:$A$500,A486,$I$2:$I$500))</f>
        <v/>
      </c>
    </row>
    <row r="487" ht="15" customHeight="1" s="22">
      <c r="J487" s="38">
        <f>IF(G487="","",IFERROR(INDEX(PackRates!$C:$C,MATCH(1,INDEX((PackRates!$A$1:$A$500=G487)*(PackRates!$B$1:$B$500=H487),0),0)),""))</f>
        <v/>
      </c>
      <c r="K487" s="38">
        <f>IF(OR(I487="",J487=""),"",IFERROR(I487*J487*INDEX(Products!$K:$K,MATCH(G487,Products!$A:$A,0)),""))</f>
        <v/>
      </c>
      <c r="L487" s="38">
        <f>IF(A487="","",IF(A487=A486,M486+1,1))</f>
        <v/>
      </c>
      <c r="M487" s="38">
        <f>IF(OR(L487="",I487=""),"",L487+I487-1)</f>
        <v/>
      </c>
      <c r="N487" s="38">
        <f>IF(A487="","",SUMIF($A$2:$A$500,A487,$I$2:$I$500))</f>
        <v/>
      </c>
    </row>
    <row r="488" ht="15" customHeight="1" s="22">
      <c r="J488" s="38">
        <f>IF(G488="","",IFERROR(INDEX(PackRates!$C:$C,MATCH(1,INDEX((PackRates!$A$1:$A$500=G488)*(PackRates!$B$1:$B$500=H488),0),0)),""))</f>
        <v/>
      </c>
      <c r="K488" s="38">
        <f>IF(OR(I488="",J488=""),"",IFERROR(I488*J488*INDEX(Products!$K:$K,MATCH(G488,Products!$A:$A,0)),""))</f>
        <v/>
      </c>
      <c r="L488" s="38">
        <f>IF(A488="","",IF(A488=A487,M487+1,1))</f>
        <v/>
      </c>
      <c r="M488" s="38">
        <f>IF(OR(L488="",I488=""),"",L488+I488-1)</f>
        <v/>
      </c>
      <c r="N488" s="38">
        <f>IF(A488="","",SUMIF($A$2:$A$500,A488,$I$2:$I$500))</f>
        <v/>
      </c>
    </row>
    <row r="489" ht="15" customHeight="1" s="22">
      <c r="J489" s="38">
        <f>IF(G489="","",IFERROR(INDEX(PackRates!$C:$C,MATCH(1,INDEX((PackRates!$A$1:$A$500=G489)*(PackRates!$B$1:$B$500=H489),0),0)),""))</f>
        <v/>
      </c>
      <c r="K489" s="38">
        <f>IF(OR(I489="",J489=""),"",IFERROR(I489*J489*INDEX(Products!$K:$K,MATCH(G489,Products!$A:$A,0)),""))</f>
        <v/>
      </c>
      <c r="L489" s="38">
        <f>IF(A489="","",IF(A489=A488,M488+1,1))</f>
        <v/>
      </c>
      <c r="M489" s="38">
        <f>IF(OR(L489="",I489=""),"",L489+I489-1)</f>
        <v/>
      </c>
      <c r="N489" s="38">
        <f>IF(A489="","",SUMIF($A$2:$A$500,A489,$I$2:$I$500))</f>
        <v/>
      </c>
    </row>
    <row r="490" ht="15" customHeight="1" s="22">
      <c r="J490" s="38">
        <f>IF(G490="","",IFERROR(INDEX(PackRates!$C:$C,MATCH(1,INDEX((PackRates!$A$1:$A$500=G490)*(PackRates!$B$1:$B$500=H490),0),0)),""))</f>
        <v/>
      </c>
      <c r="K490" s="38">
        <f>IF(OR(I490="",J490=""),"",IFERROR(I490*J490*INDEX(Products!$K:$K,MATCH(G490,Products!$A:$A,0)),""))</f>
        <v/>
      </c>
      <c r="L490" s="38">
        <f>IF(A490="","",IF(A490=A489,M489+1,1))</f>
        <v/>
      </c>
      <c r="M490" s="38">
        <f>IF(OR(L490="",I490=""),"",L490+I490-1)</f>
        <v/>
      </c>
      <c r="N490" s="38">
        <f>IF(A490="","",SUMIF($A$2:$A$500,A490,$I$2:$I$500))</f>
        <v/>
      </c>
    </row>
    <row r="491" ht="15" customHeight="1" s="22">
      <c r="J491" s="38">
        <f>IF(G491="","",IFERROR(INDEX(PackRates!$C:$C,MATCH(1,INDEX((PackRates!$A$1:$A$500=G491)*(PackRates!$B$1:$B$500=H491),0),0)),""))</f>
        <v/>
      </c>
      <c r="K491" s="38">
        <f>IF(OR(I491="",J491=""),"",IFERROR(I491*J491*INDEX(Products!$K:$K,MATCH(G491,Products!$A:$A,0)),""))</f>
        <v/>
      </c>
      <c r="L491" s="38">
        <f>IF(A491="","",IF(A491=A490,M490+1,1))</f>
        <v/>
      </c>
      <c r="M491" s="38">
        <f>IF(OR(L491="",I491=""),"",L491+I491-1)</f>
        <v/>
      </c>
      <c r="N491" s="38">
        <f>IF(A491="","",SUMIF($A$2:$A$500,A491,$I$2:$I$500))</f>
        <v/>
      </c>
    </row>
    <row r="492" ht="15" customHeight="1" s="22">
      <c r="J492" s="38">
        <f>IF(G492="","",IFERROR(INDEX(PackRates!$C:$C,MATCH(1,INDEX((PackRates!$A$1:$A$500=G492)*(PackRates!$B$1:$B$500=H492),0),0)),""))</f>
        <v/>
      </c>
      <c r="K492" s="38">
        <f>IF(OR(I492="",J492=""),"",IFERROR(I492*J492*INDEX(Products!$K:$K,MATCH(G492,Products!$A:$A,0)),""))</f>
        <v/>
      </c>
      <c r="L492" s="38">
        <f>IF(A492="","",IF(A492=A491,M491+1,1))</f>
        <v/>
      </c>
      <c r="M492" s="38">
        <f>IF(OR(L492="",I492=""),"",L492+I492-1)</f>
        <v/>
      </c>
      <c r="N492" s="38">
        <f>IF(A492="","",SUMIF($A$2:$A$500,A492,$I$2:$I$500))</f>
        <v/>
      </c>
    </row>
    <row r="493" ht="15" customHeight="1" s="22">
      <c r="J493" s="38">
        <f>IF(G493="","",IFERROR(INDEX(PackRates!$C:$C,MATCH(1,INDEX((PackRates!$A$1:$A$500=G493)*(PackRates!$B$1:$B$500=H493),0),0)),""))</f>
        <v/>
      </c>
      <c r="K493" s="38">
        <f>IF(OR(I493="",J493=""),"",IFERROR(I493*J493*INDEX(Products!$K:$K,MATCH(G493,Products!$A:$A,0)),""))</f>
        <v/>
      </c>
      <c r="L493" s="38">
        <f>IF(A493="","",IF(A493=A492,M492+1,1))</f>
        <v/>
      </c>
      <c r="M493" s="38">
        <f>IF(OR(L493="",I493=""),"",L493+I493-1)</f>
        <v/>
      </c>
      <c r="N493" s="38">
        <f>IF(A493="","",SUMIF($A$2:$A$500,A493,$I$2:$I$500))</f>
        <v/>
      </c>
    </row>
    <row r="494" ht="15" customHeight="1" s="22">
      <c r="J494" s="38">
        <f>IF(G494="","",IFERROR(INDEX(PackRates!$C:$C,MATCH(1,INDEX((PackRates!$A$1:$A$500=G494)*(PackRates!$B$1:$B$500=H494),0),0)),""))</f>
        <v/>
      </c>
      <c r="K494" s="38">
        <f>IF(OR(I494="",J494=""),"",IFERROR(I494*J494*INDEX(Products!$K:$K,MATCH(G494,Products!$A:$A,0)),""))</f>
        <v/>
      </c>
      <c r="L494" s="38">
        <f>IF(A494="","",IF(A494=A493,M493+1,1))</f>
        <v/>
      </c>
      <c r="M494" s="38">
        <f>IF(OR(L494="",I494=""),"",L494+I494-1)</f>
        <v/>
      </c>
      <c r="N494" s="38">
        <f>IF(A494="","",SUMIF($A$2:$A$500,A494,$I$2:$I$500))</f>
        <v/>
      </c>
    </row>
    <row r="495" ht="15" customHeight="1" s="22">
      <c r="J495" s="38">
        <f>IF(G495="","",IFERROR(INDEX(PackRates!$C:$C,MATCH(1,INDEX((PackRates!$A$1:$A$500=G495)*(PackRates!$B$1:$B$500=H495),0),0)),""))</f>
        <v/>
      </c>
      <c r="K495" s="38">
        <f>IF(OR(I495="",J495=""),"",IFERROR(I495*J495*INDEX(Products!$K:$K,MATCH(G495,Products!$A:$A,0)),""))</f>
        <v/>
      </c>
      <c r="L495" s="38">
        <f>IF(A495="","",IF(A495=A494,M494+1,1))</f>
        <v/>
      </c>
      <c r="M495" s="38">
        <f>IF(OR(L495="",I495=""),"",L495+I495-1)</f>
        <v/>
      </c>
      <c r="N495" s="38">
        <f>IF(A495="","",SUMIF($A$2:$A$500,A495,$I$2:$I$500))</f>
        <v/>
      </c>
    </row>
    <row r="496" ht="15" customHeight="1" s="22">
      <c r="J496" s="38">
        <f>IF(G496="","",IFERROR(INDEX(PackRates!$C:$C,MATCH(1,INDEX((PackRates!$A$1:$A$500=G496)*(PackRates!$B$1:$B$500=H496),0),0)),""))</f>
        <v/>
      </c>
      <c r="K496" s="38">
        <f>IF(OR(I496="",J496=""),"",IFERROR(I496*J496*INDEX(Products!$K:$K,MATCH(G496,Products!$A:$A,0)),""))</f>
        <v/>
      </c>
      <c r="L496" s="38">
        <f>IF(A496="","",IF(A496=A495,M495+1,1))</f>
        <v/>
      </c>
      <c r="M496" s="38">
        <f>IF(OR(L496="",I496=""),"",L496+I496-1)</f>
        <v/>
      </c>
      <c r="N496" s="38">
        <f>IF(A496="","",SUMIF($A$2:$A$500,A496,$I$2:$I$500))</f>
        <v/>
      </c>
    </row>
    <row r="497" ht="15" customHeight="1" s="22">
      <c r="J497" s="38">
        <f>IF(G497="","",IFERROR(INDEX(PackRates!$C:$C,MATCH(1,INDEX((PackRates!$A$1:$A$500=G497)*(PackRates!$B$1:$B$500=H497),0),0)),""))</f>
        <v/>
      </c>
      <c r="K497" s="38">
        <f>IF(OR(I497="",J497=""),"",IFERROR(I497*J497*INDEX(Products!$K:$K,MATCH(G497,Products!$A:$A,0)),""))</f>
        <v/>
      </c>
      <c r="L497" s="38">
        <f>IF(A497="","",IF(A497=A496,M496+1,1))</f>
        <v/>
      </c>
      <c r="M497" s="38">
        <f>IF(OR(L497="",I497=""),"",L497+I497-1)</f>
        <v/>
      </c>
      <c r="N497" s="38">
        <f>IF(A497="","",SUMIF($A$2:$A$500,A497,$I$2:$I$500))</f>
        <v/>
      </c>
    </row>
    <row r="498" ht="15" customHeight="1" s="22">
      <c r="J498" s="38">
        <f>IF(G498="","",IFERROR(INDEX(PackRates!$C:$C,MATCH(1,INDEX((PackRates!$A$1:$A$500=G498)*(PackRates!$B$1:$B$500=H498),0),0)),""))</f>
        <v/>
      </c>
      <c r="K498" s="38">
        <f>IF(OR(I498="",J498=""),"",IFERROR(I498*J498*INDEX(Products!$K:$K,MATCH(G498,Products!$A:$A,0)),""))</f>
        <v/>
      </c>
      <c r="L498" s="38">
        <f>IF(A498="","",IF(A498=A497,M497+1,1))</f>
        <v/>
      </c>
      <c r="M498" s="38">
        <f>IF(OR(L498="",I498=""),"",L498+I498-1)</f>
        <v/>
      </c>
      <c r="N498" s="38">
        <f>IF(A498="","",SUMIF($A$2:$A$500,A498,$I$2:$I$500))</f>
        <v/>
      </c>
    </row>
    <row r="499" ht="15" customHeight="1" s="22">
      <c r="J499" s="38">
        <f>IF(G499="","",IFERROR(INDEX(PackRates!$C:$C,MATCH(1,INDEX((PackRates!$A$1:$A$500=G499)*(PackRates!$B$1:$B$500=H499),0),0)),""))</f>
        <v/>
      </c>
      <c r="K499" s="38">
        <f>IF(OR(I499="",J499=""),"",IFERROR(I499*J499*INDEX(Products!$K:$K,MATCH(G499,Products!$A:$A,0)),""))</f>
        <v/>
      </c>
      <c r="L499" s="38">
        <f>IF(A499="","",IF(A499=A498,M498+1,1))</f>
        <v/>
      </c>
      <c r="M499" s="38">
        <f>IF(OR(L499="",I499=""),"",L499+I499-1)</f>
        <v/>
      </c>
      <c r="N499" s="38">
        <f>IF(A499="","",SUMIF($A$2:$A$500,A499,$I$2:$I$500))</f>
        <v/>
      </c>
    </row>
    <row r="500" ht="15" customHeight="1" s="22">
      <c r="J500" s="38">
        <f>IF(G500="","",IFERROR(INDEX(PackRates!$C:$C,MATCH(1,INDEX((PackRates!$A$1:$A$500=G500)*(PackRates!$B$1:$B$500=H500),0),0)),""))</f>
        <v/>
      </c>
      <c r="K500" s="38">
        <f>IF(OR(I500="",J500=""),"",IFERROR(I500*J500*INDEX(Products!$K:$K,MATCH(G500,Products!$A:$A,0)),""))</f>
        <v/>
      </c>
      <c r="L500" s="38">
        <f>IF(A500="","",IF(A500=A499,M499+1,1))</f>
        <v/>
      </c>
      <c r="M500" s="38">
        <f>IF(OR(L500="",I500=""),"",L500+I500-1)</f>
        <v/>
      </c>
      <c r="N500" s="38">
        <f>IF(A500="","",SUMIF($A$2:$A$500,A500,$I$2:$I$500))</f>
        <v/>
      </c>
    </row>
  </sheetData>
  <autoFilter ref="A1:O1"/>
  <dataValidations count="1">
    <dataValidation sqref="I2:I500" showDropDown="0" showInputMessage="0" showErrorMessage="1" allowBlank="0" error="Enter a whole number of 1 or more." type="whole" errorStyle="stop" operator="greaterThanOrEqual">
      <formula1>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21" min="1" max="7"/>
  </cols>
  <sheetData>
    <row r="1" ht="15" customHeight="1" s="22">
      <c r="A1" s="40" t="inlineStr">
        <is>
          <t>Currency</t>
        </is>
      </c>
      <c r="B1" s="40" t="inlineStr">
        <is>
          <t>Incoterm</t>
        </is>
      </c>
      <c r="C1" s="40" t="inlineStr">
        <is>
          <t>PaymentTerms</t>
        </is>
      </c>
      <c r="D1" s="40" t="inlineStr">
        <is>
          <t>YesNo</t>
        </is>
      </c>
      <c r="E1" s="40" t="inlineStr">
        <is>
          <t>Language</t>
        </is>
      </c>
      <c r="F1" s="40" t="inlineStr">
        <is>
          <t>Maturity</t>
        </is>
      </c>
      <c r="G1" s="40" t="inlineStr">
        <is>
          <t>Country</t>
        </is>
      </c>
    </row>
    <row r="2" ht="15" customHeight="1" s="22">
      <c r="A2" s="41" t="inlineStr">
        <is>
          <t>KES</t>
        </is>
      </c>
      <c r="B2" s="41" t="inlineStr">
        <is>
          <t>FCA</t>
        </is>
      </c>
      <c r="C2" s="41" t="inlineStr">
        <is>
          <t>Prepaid</t>
        </is>
      </c>
      <c r="D2" s="41" t="inlineStr">
        <is>
          <t>Y</t>
        </is>
      </c>
      <c r="E2" s="41" t="inlineStr">
        <is>
          <t>EN</t>
        </is>
      </c>
      <c r="F2" s="41" t="inlineStr">
        <is>
          <t>Stage 1</t>
        </is>
      </c>
      <c r="G2" s="41" t="inlineStr">
        <is>
          <t>Kenya</t>
        </is>
      </c>
    </row>
    <row r="3" ht="15" customHeight="1" s="22">
      <c r="A3" s="41" t="inlineStr">
        <is>
          <t>USD</t>
        </is>
      </c>
      <c r="B3" s="41" t="inlineStr">
        <is>
          <t>CPT</t>
        </is>
      </c>
      <c r="C3" s="41" t="inlineStr">
        <is>
          <t>Net 7</t>
        </is>
      </c>
      <c r="D3" s="41" t="inlineStr">
        <is>
          <t>N</t>
        </is>
      </c>
      <c r="E3" s="41" t="inlineStr">
        <is>
          <t>NL</t>
        </is>
      </c>
      <c r="F3" s="41" t="inlineStr">
        <is>
          <t>Stage 2</t>
        </is>
      </c>
      <c r="G3" s="41" t="inlineStr">
        <is>
          <t>Netherlands</t>
        </is>
      </c>
    </row>
    <row r="4" ht="15" customHeight="1" s="22">
      <c r="A4" s="41" t="inlineStr">
        <is>
          <t>EUR</t>
        </is>
      </c>
      <c r="B4" s="41" t="inlineStr">
        <is>
          <t>CIP</t>
        </is>
      </c>
      <c r="C4" s="41" t="inlineStr">
        <is>
          <t>Net 15</t>
        </is>
      </c>
      <c r="F4" s="41" t="inlineStr">
        <is>
          <t>Stage 3</t>
        </is>
      </c>
      <c r="G4" s="41" t="inlineStr">
        <is>
          <t>United Kingdom</t>
        </is>
      </c>
    </row>
    <row r="5" ht="15" customHeight="1" s="22">
      <c r="B5" s="41" t="inlineStr">
        <is>
          <t>DAP</t>
        </is>
      </c>
      <c r="C5" s="41" t="inlineStr">
        <is>
          <t>Net 30</t>
        </is>
      </c>
      <c r="F5" s="41" t="inlineStr">
        <is>
          <t>Stage 4</t>
        </is>
      </c>
      <c r="G5" s="41" t="inlineStr">
        <is>
          <t>Germany</t>
        </is>
      </c>
    </row>
    <row r="6" ht="15" customHeight="1" s="22">
      <c r="B6" s="41" t="inlineStr">
        <is>
          <t>DPU</t>
        </is>
      </c>
      <c r="G6" s="41" t="inlineStr">
        <is>
          <t>Russia</t>
        </is>
      </c>
    </row>
    <row r="7" ht="15" customHeight="1" s="22">
      <c r="B7" s="41" t="inlineStr">
        <is>
          <t>DDP</t>
        </is>
      </c>
      <c r="G7" s="41" t="inlineStr">
        <is>
          <t>United Arab Emirates</t>
        </is>
      </c>
    </row>
    <row r="8" ht="15" customHeight="1" s="22">
      <c r="B8" s="41" t="inlineStr">
        <is>
          <t>EXW</t>
        </is>
      </c>
      <c r="G8" s="41" t="inlineStr">
        <is>
          <t>Japan</t>
        </is>
      </c>
    </row>
    <row r="9" ht="15" customHeight="1" s="22">
      <c r="G9" s="41" t="inlineStr">
        <is>
          <t>Australia</t>
        </is>
      </c>
    </row>
    <row r="10" ht="15" customHeight="1" s="22">
      <c r="G10" s="41" t="inlineStr">
        <is>
          <t>United States</t>
        </is>
      </c>
    </row>
    <row r="11" ht="15" customHeight="1" s="22">
      <c r="G11" s="41" t="inlineStr">
        <is>
          <t>Other</t>
        </is>
      </c>
    </row>
    <row r="12" ht="15" customHeight="1" s="22">
      <c r="A12" s="42" t="inlineStr">
        <is>
          <t>Edit these lists to change the dropdowns. Incoterms 2020: FOB, CFR and CIF are sea-freight terms, so air shipments use FCA, CPT, CIP or DAP.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2026-10-06T12:32:29Z</dcterms:created>
  <dcterms:modified xmlns:dcterms="http://purl.org/dc/terms/" xmlns:xsi="http://www.w3.org/2001/XMLSchema-instance" xsi:type="dcterms:W3CDTF">2026-10-06T13:23:19Z</dcterms:modified>
  <cp:revision>0</cp:revision>
</cp:coreProperties>
</file>